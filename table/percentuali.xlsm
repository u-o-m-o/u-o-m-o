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uno\Desktop\Social Media\"/>
    </mc:Choice>
  </mc:AlternateContent>
  <xr:revisionPtr revIDLastSave="0" documentId="13_ncr:1_{0AA534E4-B63F-4FA1-80BE-AAC70A30ECCB}" xr6:coauthVersionLast="40" xr6:coauthVersionMax="40" xr10:uidLastSave="{00000000-0000-0000-0000-000000000000}"/>
  <bookViews>
    <workbookView xWindow="-108" yWindow="-108" windowWidth="23256" windowHeight="12600" xr2:uid="{00000000-000D-0000-FFFF-FFFF00000000}"/>
  </bookViews>
  <sheets>
    <sheet name="Foglio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O3" i="1" l="1"/>
  <c r="BO4" i="1"/>
  <c r="BO5" i="1"/>
  <c r="BO6" i="1"/>
  <c r="BO7" i="1"/>
  <c r="BO8" i="1"/>
  <c r="BO9" i="1"/>
  <c r="BO10" i="1"/>
  <c r="BO11" i="1"/>
  <c r="BO12" i="1"/>
  <c r="BO13" i="1"/>
  <c r="BO14" i="1"/>
  <c r="BO15" i="1"/>
  <c r="BO16" i="1"/>
  <c r="BO17" i="1"/>
  <c r="BO18" i="1"/>
  <c r="BO19" i="1"/>
  <c r="BO2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N3" i="1"/>
  <c r="BN7" i="1"/>
  <c r="BN11" i="1"/>
  <c r="BN15" i="1"/>
  <c r="BN19" i="1"/>
  <c r="BN14" i="1"/>
  <c r="BN4" i="1"/>
  <c r="BN8" i="1"/>
  <c r="BN12" i="1"/>
  <c r="BN16" i="1"/>
  <c r="BN10" i="1"/>
  <c r="BN5" i="1"/>
  <c r="BN9" i="1"/>
  <c r="BN13" i="1"/>
  <c r="BN17" i="1"/>
  <c r="BN6" i="1"/>
  <c r="BN18" i="1"/>
  <c r="BM3" i="1"/>
  <c r="BM7" i="1"/>
  <c r="BM11" i="1"/>
  <c r="BM15" i="1"/>
  <c r="BM19" i="1"/>
  <c r="BM14" i="1"/>
  <c r="BM4" i="1"/>
  <c r="BM8" i="1"/>
  <c r="BM12" i="1"/>
  <c r="BM16" i="1"/>
  <c r="BM10" i="1"/>
  <c r="BM5" i="1"/>
  <c r="BM9" i="1"/>
  <c r="BM13" i="1"/>
  <c r="BM17" i="1"/>
  <c r="BM6" i="1"/>
  <c r="BM18" i="1"/>
  <c r="BN2" i="1"/>
  <c r="BM2" i="1"/>
  <c r="BL3" i="1"/>
  <c r="BL7" i="1"/>
  <c r="BL11" i="1"/>
  <c r="BL15" i="1"/>
  <c r="BL19" i="1"/>
  <c r="BL14" i="1"/>
  <c r="BL4" i="1"/>
  <c r="BL8" i="1"/>
  <c r="BL12" i="1"/>
  <c r="BL16" i="1"/>
  <c r="BL10" i="1"/>
  <c r="BL18" i="1"/>
  <c r="BL5" i="1"/>
  <c r="BL9" i="1"/>
  <c r="BL13" i="1"/>
  <c r="BL17" i="1"/>
  <c r="BL6" i="1"/>
  <c r="BL2" i="1"/>
  <c r="C23" i="1"/>
  <c r="G23" i="1"/>
  <c r="K23" i="1"/>
  <c r="O23" i="1"/>
  <c r="S23" i="1"/>
  <c r="W23" i="1"/>
  <c r="AA23" i="1"/>
  <c r="AE23" i="1"/>
  <c r="AI23" i="1"/>
  <c r="AM23" i="1"/>
  <c r="AQ23" i="1"/>
  <c r="AU23" i="1"/>
  <c r="AY23" i="1"/>
  <c r="BC23" i="1"/>
  <c r="BG23" i="1"/>
  <c r="N23" i="1"/>
  <c r="Z23" i="1"/>
  <c r="AL23" i="1"/>
  <c r="AX23" i="1"/>
  <c r="BJ23" i="1"/>
  <c r="D23" i="1"/>
  <c r="H23" i="1"/>
  <c r="L23" i="1"/>
  <c r="P23" i="1"/>
  <c r="T23" i="1"/>
  <c r="X23" i="1"/>
  <c r="AB23" i="1"/>
  <c r="AF23" i="1"/>
  <c r="AJ23" i="1"/>
  <c r="AN23" i="1"/>
  <c r="AR23" i="1"/>
  <c r="AV23" i="1"/>
  <c r="AZ23" i="1"/>
  <c r="BD23" i="1"/>
  <c r="BH23" i="1"/>
  <c r="J23" i="1"/>
  <c r="R23" i="1"/>
  <c r="AH23" i="1"/>
  <c r="AT23" i="1"/>
  <c r="BF23" i="1"/>
  <c r="E23" i="1"/>
  <c r="I23" i="1"/>
  <c r="M23" i="1"/>
  <c r="Q23" i="1"/>
  <c r="U23" i="1"/>
  <c r="Y23" i="1"/>
  <c r="AC23" i="1"/>
  <c r="AG23" i="1"/>
  <c r="AK23" i="1"/>
  <c r="AO23" i="1"/>
  <c r="AS23" i="1"/>
  <c r="AW23" i="1"/>
  <c r="BA23" i="1"/>
  <c r="BE23" i="1"/>
  <c r="BI23" i="1"/>
  <c r="F23" i="1"/>
  <c r="V23" i="1"/>
  <c r="AD23" i="1"/>
  <c r="AP23" i="1"/>
  <c r="BB23" i="1"/>
  <c r="C22" i="1"/>
  <c r="G22" i="1"/>
  <c r="K22" i="1"/>
  <c r="O22" i="1"/>
  <c r="S22" i="1"/>
  <c r="W22" i="1"/>
  <c r="AA22" i="1"/>
  <c r="AE22" i="1"/>
  <c r="AI22" i="1"/>
  <c r="AM22" i="1"/>
  <c r="AQ22" i="1"/>
  <c r="AU22" i="1"/>
  <c r="AY22" i="1"/>
  <c r="BC22" i="1"/>
  <c r="BG22" i="1"/>
  <c r="N22" i="1"/>
  <c r="Z22" i="1"/>
  <c r="AL22" i="1"/>
  <c r="AX22" i="1"/>
  <c r="BJ22" i="1"/>
  <c r="D22" i="1"/>
  <c r="H22" i="1"/>
  <c r="L22" i="1"/>
  <c r="P22" i="1"/>
  <c r="T22" i="1"/>
  <c r="X22" i="1"/>
  <c r="AB22" i="1"/>
  <c r="AF22" i="1"/>
  <c r="AJ22" i="1"/>
  <c r="AN22" i="1"/>
  <c r="AR22" i="1"/>
  <c r="AV22" i="1"/>
  <c r="AZ22" i="1"/>
  <c r="BD22" i="1"/>
  <c r="BH22" i="1"/>
  <c r="F22" i="1"/>
  <c r="V22" i="1"/>
  <c r="AH22" i="1"/>
  <c r="AT22" i="1"/>
  <c r="BF22" i="1"/>
  <c r="E22" i="1"/>
  <c r="I22" i="1"/>
  <c r="M22" i="1"/>
  <c r="Q22" i="1"/>
  <c r="U22" i="1"/>
  <c r="Y22" i="1"/>
  <c r="AC22" i="1"/>
  <c r="AG22" i="1"/>
  <c r="AK22" i="1"/>
  <c r="AO22" i="1"/>
  <c r="AS22" i="1"/>
  <c r="AW22" i="1"/>
  <c r="BA22" i="1"/>
  <c r="BE22" i="1"/>
  <c r="BI22" i="1"/>
  <c r="J22" i="1"/>
  <c r="R22" i="1"/>
  <c r="AD22" i="1"/>
  <c r="AP22" i="1"/>
  <c r="BB22" i="1"/>
  <c r="B22" i="1"/>
  <c r="B23" i="1"/>
  <c r="B24" i="1" l="1"/>
</calcChain>
</file>

<file path=xl/sharedStrings.xml><?xml version="1.0" encoding="utf-8"?>
<sst xmlns="http://schemas.openxmlformats.org/spreadsheetml/2006/main" count="237" uniqueCount="160">
  <si>
    <t>Social</t>
  </si>
  <si>
    <t>Account Nickname</t>
  </si>
  <si>
    <t>List</t>
  </si>
  <si>
    <t>Clips</t>
  </si>
  <si>
    <t>Followers</t>
  </si>
  <si>
    <t>Following</t>
  </si>
  <si>
    <t>Main Video Stream</t>
  </si>
  <si>
    <t>Stream Chat</t>
  </si>
  <si>
    <t>Name of the stream</t>
  </si>
  <si>
    <t>Category of the Stream</t>
  </si>
  <si>
    <t>Post</t>
  </si>
  <si>
    <t>Profile Pic</t>
  </si>
  <si>
    <t>Background Image</t>
  </si>
  <si>
    <t>Blog title</t>
  </si>
  <si>
    <t>Tracks</t>
  </si>
  <si>
    <t>Album</t>
  </si>
  <si>
    <t>Playlist</t>
  </si>
  <si>
    <t>Name</t>
  </si>
  <si>
    <t>Form</t>
  </si>
  <si>
    <t>Share</t>
  </si>
  <si>
    <t>Karma</t>
  </si>
  <si>
    <t>Inscription Date</t>
  </si>
  <si>
    <t>Trophies</t>
  </si>
  <si>
    <t>Description/bio</t>
  </si>
  <si>
    <t>Comments</t>
  </si>
  <si>
    <t>link to other SM</t>
  </si>
  <si>
    <t>Stars</t>
  </si>
  <si>
    <t>Contributions</t>
  </si>
  <si>
    <t>Repositories</t>
  </si>
  <si>
    <t>Status</t>
  </si>
  <si>
    <t>Birthday</t>
  </si>
  <si>
    <t>Place</t>
  </si>
  <si>
    <t>Interests</t>
  </si>
  <si>
    <t>Groups</t>
  </si>
  <si>
    <t>Dove hai vissuto</t>
  </si>
  <si>
    <t>Posto di lavoro</t>
  </si>
  <si>
    <t>Scuola/università</t>
  </si>
  <si>
    <t>Situa Sentimentale (relazioni)</t>
  </si>
  <si>
    <t>famiglia (relazioni)</t>
  </si>
  <si>
    <t xml:space="preserve">cell </t>
  </si>
  <si>
    <t>indirizzo</t>
  </si>
  <si>
    <t>sito web (link)</t>
  </si>
  <si>
    <t>genere</t>
  </si>
  <si>
    <t>onomastico</t>
  </si>
  <si>
    <t>sesso che ti interessa</t>
  </si>
  <si>
    <t>lingua</t>
  </si>
  <si>
    <t>orientam religioso</t>
  </si>
  <si>
    <t>orientam politico</t>
  </si>
  <si>
    <t>soprannome/nome di battesimo</t>
  </si>
  <si>
    <t>citaz preferite</t>
  </si>
  <si>
    <t>avvenimenti importanti</t>
  </si>
  <si>
    <t>lo sapevi? Domande per aiutare gli altri a conoscerti</t>
  </si>
  <si>
    <t>competenze</t>
  </si>
  <si>
    <t>Traguardi</t>
  </si>
  <si>
    <t xml:space="preserve">email </t>
  </si>
  <si>
    <t>views (del profilo)</t>
  </si>
  <si>
    <t>geotag</t>
  </si>
  <si>
    <t>tag</t>
  </si>
  <si>
    <t>Valori unici</t>
  </si>
  <si>
    <t>Twitch</t>
  </si>
  <si>
    <t>Videos</t>
  </si>
  <si>
    <t>Live</t>
  </si>
  <si>
    <t>Panels</t>
  </si>
  <si>
    <t>Tumblr</t>
  </si>
  <si>
    <t>solo nell'url</t>
  </si>
  <si>
    <t>Pinterest</t>
  </si>
  <si>
    <t xml:space="preserve">Bacheche </t>
  </si>
  <si>
    <t>Provati + Argomenti -- boooooh</t>
  </si>
  <si>
    <t>Pins</t>
  </si>
  <si>
    <t>Che cos'è</t>
  </si>
  <si>
    <t>Argomenti</t>
  </si>
  <si>
    <t>SoundCloud</t>
  </si>
  <si>
    <t>Sarahah</t>
  </si>
  <si>
    <t>Reddit</t>
  </si>
  <si>
    <t>Youtube</t>
  </si>
  <si>
    <t>video, playlist</t>
  </si>
  <si>
    <t>subscribers</t>
  </si>
  <si>
    <t>videos</t>
  </si>
  <si>
    <t>Facebook</t>
  </si>
  <si>
    <t>Foto e video?</t>
  </si>
  <si>
    <t>Amici</t>
  </si>
  <si>
    <t>c'è di tutto</t>
  </si>
  <si>
    <t>Mi piace</t>
  </si>
  <si>
    <t>La musica che ti piace, ma sono sempre pagine</t>
  </si>
  <si>
    <t>link a altri social</t>
  </si>
  <si>
    <t>Non sono sicura</t>
  </si>
  <si>
    <t>Non so che è</t>
  </si>
  <si>
    <t>data/anno</t>
  </si>
  <si>
    <t>Dove vivi</t>
  </si>
  <si>
    <t>foto,  sport, musica, film, programmi, libri, mi piace, amici, eventi</t>
  </si>
  <si>
    <t>Avvenimenti Importanti</t>
  </si>
  <si>
    <t>Github</t>
  </si>
  <si>
    <t>Twitter</t>
  </si>
  <si>
    <t>Foto + video (media) numerati</t>
  </si>
  <si>
    <t>numerati</t>
  </si>
  <si>
    <t>Tweets (numerati)</t>
  </si>
  <si>
    <t>archivio di cose piaciute (numerati)</t>
  </si>
  <si>
    <t>Trends for you (auto)</t>
  </si>
  <si>
    <t>Lists (numerati</t>
  </si>
  <si>
    <t>Meetup</t>
  </si>
  <si>
    <t>solo nell'url (codice)</t>
  </si>
  <si>
    <t>LinkedIn</t>
  </si>
  <si>
    <t>Messaggistica istantanea (è il momento di creare una differenza tra media e messaggistica)</t>
  </si>
  <si>
    <t>Auto</t>
  </si>
  <si>
    <t>Molte info inside (anche volontariato)</t>
  </si>
  <si>
    <t>Molte info inside</t>
  </si>
  <si>
    <t>lista oggetti</t>
  </si>
  <si>
    <t>pubblicazioni, brevetti, esami, corsi, progetti</t>
  </si>
  <si>
    <t>Instagram</t>
  </si>
  <si>
    <t>FEED</t>
  </si>
  <si>
    <t>Non trovo ma credo ci sia</t>
  </si>
  <si>
    <t>Privato</t>
  </si>
  <si>
    <t>Academia.edu</t>
  </si>
  <si>
    <t>Papers archive</t>
  </si>
  <si>
    <t>y</t>
  </si>
  <si>
    <t>citations</t>
  </si>
  <si>
    <t>We &lt;3 it</t>
  </si>
  <si>
    <t>Collection</t>
  </si>
  <si>
    <t>Sia tuoi che quelli a cui metti il like</t>
  </si>
  <si>
    <t>Hearts</t>
  </si>
  <si>
    <t>Flickr</t>
  </si>
  <si>
    <t>nick + url code</t>
  </si>
  <si>
    <t>Gallerie</t>
  </si>
  <si>
    <t>Photostream (counter post)</t>
  </si>
  <si>
    <t>preferiti</t>
  </si>
  <si>
    <t>Brith Place // actual</t>
  </si>
  <si>
    <t>tags</t>
  </si>
  <si>
    <t>MySpace</t>
  </si>
  <si>
    <t>GoodReads</t>
  </si>
  <si>
    <t>VALORI COMUNI</t>
  </si>
  <si>
    <t>x</t>
  </si>
  <si>
    <t>LISTABILE</t>
  </si>
  <si>
    <t>L</t>
  </si>
  <si>
    <t>colorino xd</t>
  </si>
  <si>
    <t>Valori Rossi</t>
  </si>
  <si>
    <t>Valori Verdi</t>
  </si>
  <si>
    <t>Altri Valori</t>
  </si>
  <si>
    <t>Verdino</t>
  </si>
  <si>
    <t>Rossino</t>
  </si>
  <si>
    <t>Percentuale di Positività</t>
  </si>
  <si>
    <t>Percentuale di Negatività</t>
  </si>
  <si>
    <t>Percentuale di non categorizzazione</t>
  </si>
  <si>
    <t>Verde</t>
  </si>
  <si>
    <t>Rosso</t>
  </si>
  <si>
    <t>photos, portfolio</t>
  </si>
  <si>
    <t>posts + medias</t>
  </si>
  <si>
    <t>mixes</t>
  </si>
  <si>
    <t>connections</t>
  </si>
  <si>
    <t>nei post</t>
  </si>
  <si>
    <t>bookshelves + currently reading + favorite authors</t>
  </si>
  <si>
    <t>friends</t>
  </si>
  <si>
    <t>ratings + "want to read"</t>
  </si>
  <si>
    <t>N° best reader (users ranking)</t>
  </si>
  <si>
    <t>books reviews</t>
  </si>
  <si>
    <t>age</t>
  </si>
  <si>
    <t>reading challenge</t>
  </si>
  <si>
    <t>Similar to</t>
  </si>
  <si>
    <t>Quizzes and trivia</t>
  </si>
  <si>
    <t>Saved Elements</t>
  </si>
  <si>
    <t>Ripubblicazioni / 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</si>
</sst>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rgb="FF000000"/>
      <name val="Arial"/>
    </font>
    <font>
      <sz val="10"/>
      <name val="Arial"/>
    </font>
    <font>
      <sz val="10"/>
      <color rgb="FFFFFFFF"/>
      <name val="Arial"/>
    </font>
    <font>
      <sz val="10"/>
      <color rgb="FFFF0000"/>
      <name val="Arial"/>
    </font>
    <font>
      <sz val="10"/>
      <color rgb="FF00FF00"/>
      <name val="Arial"/>
    </font>
    <font>
      <u/>
      <sz val="10"/>
      <color rgb="FF0000FF"/>
      <name val="Arial"/>
    </font>
    <font>
      <sz val="10"/>
      <color rgb="FF000000"/>
      <name val="Arial"/>
    </font>
    <font>
      <sz val="10"/>
      <color rgb="FF000000"/>
      <name val="Arial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FF00"/>
        <bgColor rgb="FF00FF00"/>
      </patternFill>
    </fill>
    <fill>
      <patternFill patternType="solid">
        <fgColor rgb="FF6AA84F"/>
        <bgColor rgb="FF6AA84F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rgb="FFFF9900"/>
      </patternFill>
    </fill>
    <fill>
      <patternFill patternType="solid">
        <fgColor rgb="FF00FF00"/>
        <bgColor rgb="FFFFFFFF"/>
      </patternFill>
    </fill>
    <fill>
      <patternFill patternType="solid">
        <fgColor rgb="FFFF0000"/>
        <bgColor rgb="FFFFD966"/>
      </patternFill>
    </fill>
    <fill>
      <patternFill patternType="solid">
        <fgColor rgb="FFFF0000"/>
        <bgColor rgb="FF00FF00"/>
      </patternFill>
    </fill>
    <fill>
      <patternFill patternType="solid">
        <fgColor rgb="FFFF0000"/>
        <bgColor rgb="FFFFFF00"/>
      </patternFill>
    </fill>
    <fill>
      <patternFill patternType="solid">
        <fgColor rgb="FFFF0000"/>
        <bgColor rgb="FFFF9900"/>
      </patternFill>
    </fill>
    <fill>
      <patternFill patternType="solid">
        <fgColor rgb="FF00FF00"/>
        <bgColor rgb="FFFFFF00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40">
    <xf numFmtId="0" fontId="0" fillId="0" borderId="0" xfId="0" applyFont="1" applyAlignment="1"/>
    <xf numFmtId="0" fontId="1" fillId="0" borderId="0" xfId="0" applyFont="1" applyAlignment="1"/>
    <xf numFmtId="0" fontId="1" fillId="0" borderId="0" xfId="0" applyFont="1" applyAlignment="1"/>
    <xf numFmtId="0" fontId="1" fillId="2" borderId="0" xfId="0" applyFont="1" applyFill="1" applyAlignment="1"/>
    <xf numFmtId="0" fontId="1" fillId="3" borderId="0" xfId="0" applyFont="1" applyFill="1"/>
    <xf numFmtId="0" fontId="1" fillId="3" borderId="0" xfId="0" applyFont="1" applyFill="1" applyAlignment="1"/>
    <xf numFmtId="0" fontId="1" fillId="4" borderId="0" xfId="0" applyFont="1" applyFill="1"/>
    <xf numFmtId="0" fontId="1" fillId="5" borderId="0" xfId="0" applyFont="1" applyFill="1"/>
    <xf numFmtId="0" fontId="1" fillId="2" borderId="0" xfId="0" applyFont="1" applyFill="1"/>
    <xf numFmtId="0" fontId="1" fillId="3" borderId="0" xfId="0" applyFont="1" applyFill="1" applyAlignment="1">
      <alignment wrapText="1"/>
    </xf>
    <xf numFmtId="0" fontId="3" fillId="3" borderId="0" xfId="0" applyFont="1" applyFill="1" applyAlignment="1">
      <alignment wrapText="1"/>
    </xf>
    <xf numFmtId="0" fontId="4" fillId="3" borderId="0" xfId="0" applyFont="1" applyFill="1"/>
    <xf numFmtId="0" fontId="3" fillId="5" borderId="0" xfId="0" applyFont="1" applyFill="1"/>
    <xf numFmtId="0" fontId="1" fillId="5" borderId="0" xfId="0" applyFont="1" applyFill="1" applyAlignment="1"/>
    <xf numFmtId="0" fontId="3" fillId="5" borderId="0" xfId="0" applyFont="1" applyFill="1" applyAlignment="1"/>
    <xf numFmtId="0" fontId="1" fillId="3" borderId="0" xfId="0" applyFont="1" applyFill="1" applyAlignment="1"/>
    <xf numFmtId="0" fontId="1" fillId="4" borderId="0" xfId="0" applyFont="1" applyFill="1" applyAlignment="1"/>
    <xf numFmtId="0" fontId="1" fillId="3" borderId="0" xfId="0" applyFont="1" applyFill="1" applyAlignment="1"/>
    <xf numFmtId="0" fontId="5" fillId="0" borderId="0" xfId="0" applyFont="1" applyAlignment="1"/>
    <xf numFmtId="0" fontId="6" fillId="3" borderId="0" xfId="0" applyFont="1" applyFill="1" applyAlignment="1"/>
    <xf numFmtId="0" fontId="1" fillId="6" borderId="0" xfId="0" applyFont="1" applyFill="1" applyAlignment="1"/>
    <xf numFmtId="0" fontId="0" fillId="6" borderId="0" xfId="0" applyFont="1" applyFill="1" applyAlignment="1"/>
    <xf numFmtId="0" fontId="7" fillId="7" borderId="1" xfId="0" applyFont="1" applyFill="1" applyBorder="1" applyAlignment="1">
      <alignment wrapText="1"/>
    </xf>
    <xf numFmtId="0" fontId="7" fillId="8" borderId="1" xfId="0" applyFont="1" applyFill="1" applyBorder="1" applyAlignment="1">
      <alignment wrapText="1"/>
    </xf>
    <xf numFmtId="0" fontId="7" fillId="7" borderId="1" xfId="0" applyFont="1" applyFill="1" applyBorder="1" applyAlignment="1">
      <alignment vertical="center"/>
    </xf>
    <xf numFmtId="0" fontId="8" fillId="0" borderId="0" xfId="0" applyFont="1" applyAlignment="1"/>
    <xf numFmtId="0" fontId="2" fillId="9" borderId="0" xfId="0" applyFont="1" applyFill="1" applyAlignment="1"/>
    <xf numFmtId="0" fontId="1" fillId="10" borderId="0" xfId="0" applyFont="1" applyFill="1"/>
    <xf numFmtId="0" fontId="1" fillId="9" borderId="0" xfId="0" applyFont="1" applyFill="1"/>
    <xf numFmtId="0" fontId="0" fillId="8" borderId="0" xfId="0" applyFont="1" applyFill="1" applyAlignment="1"/>
    <xf numFmtId="0" fontId="1" fillId="11" borderId="0" xfId="0" applyFont="1" applyFill="1" applyAlignment="1">
      <alignment wrapText="1"/>
    </xf>
    <xf numFmtId="0" fontId="1" fillId="11" borderId="0" xfId="0" applyFont="1" applyFill="1"/>
    <xf numFmtId="0" fontId="1" fillId="12" borderId="0" xfId="0" applyFont="1" applyFill="1"/>
    <xf numFmtId="0" fontId="1" fillId="8" borderId="0" xfId="0" applyFont="1" applyFill="1" applyAlignment="1"/>
    <xf numFmtId="0" fontId="0" fillId="7" borderId="0" xfId="0" applyFont="1" applyFill="1" applyAlignment="1"/>
    <xf numFmtId="0" fontId="1" fillId="13" borderId="0" xfId="0" applyFont="1" applyFill="1" applyAlignment="1"/>
    <xf numFmtId="0" fontId="1" fillId="14" borderId="0" xfId="0" applyFont="1" applyFill="1" applyAlignment="1"/>
    <xf numFmtId="0" fontId="1" fillId="0" borderId="0" xfId="0" applyFont="1" applyFill="1" applyAlignment="1"/>
    <xf numFmtId="0" fontId="1" fillId="14" borderId="0" xfId="0" applyFont="1" applyFill="1"/>
    <xf numFmtId="0" fontId="1" fillId="15" borderId="0" xfId="0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cademia.edu/" TargetMode="External"/><Relationship Id="rId1" Type="http://schemas.openxmlformats.org/officeDocument/2006/relationships/hyperlink" Target="http://academia.edu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BR27"/>
  <sheetViews>
    <sheetView tabSelected="1" workbookViewId="0">
      <pane xSplit="1" topLeftCell="B1" activePane="topRight" state="frozen"/>
      <selection pane="topRight" activeCell="BO23" sqref="BO23"/>
    </sheetView>
  </sheetViews>
  <sheetFormatPr defaultColWidth="14.44140625" defaultRowHeight="15.75" customHeight="1" x14ac:dyDescent="0.25"/>
  <cols>
    <col min="1" max="1" width="31" bestFit="1" customWidth="1"/>
    <col min="2" max="2" width="16.5546875" customWidth="1"/>
    <col min="7" max="7" width="16.88671875" customWidth="1"/>
    <col min="9" max="9" width="17.44140625" customWidth="1"/>
    <col min="10" max="10" width="20.33203125" customWidth="1"/>
    <col min="13" max="13" width="16.6640625" customWidth="1"/>
    <col min="27" max="27" width="14.6640625" customWidth="1"/>
    <col min="28" max="28" width="14.33203125" customWidth="1"/>
    <col min="29" max="29" width="14.6640625" customWidth="1"/>
    <col min="30" max="34" width="14.33203125" customWidth="1"/>
    <col min="35" max="35" width="30.6640625" customWidth="1"/>
    <col min="36" max="36" width="13.33203125" customWidth="1"/>
    <col min="37" max="46" width="14.33203125" customWidth="1"/>
    <col min="47" max="47" width="19" customWidth="1"/>
    <col min="48" max="48" width="14.33203125" customWidth="1"/>
    <col min="49" max="49" width="15.88671875" customWidth="1"/>
    <col min="50" max="50" width="14.33203125" customWidth="1"/>
    <col min="51" max="51" width="27.109375" customWidth="1"/>
    <col min="52" max="52" width="14.33203125" customWidth="1"/>
    <col min="53" max="53" width="19.6640625" customWidth="1"/>
    <col min="54" max="54" width="43.88671875" customWidth="1"/>
    <col min="55" max="57" width="14.33203125" customWidth="1"/>
    <col min="58" max="58" width="15.5546875" customWidth="1"/>
    <col min="59" max="60" width="14.33203125" customWidth="1"/>
    <col min="61" max="61" width="15.44140625" bestFit="1" customWidth="1"/>
    <col min="62" max="62" width="14.33203125" customWidth="1"/>
    <col min="64" max="65" width="14.33203125" customWidth="1"/>
    <col min="70" max="70" width="31" bestFit="1" customWidth="1"/>
  </cols>
  <sheetData>
    <row r="1" spans="1:70" ht="13.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158</v>
      </c>
      <c r="P1" s="1" t="s">
        <v>14</v>
      </c>
      <c r="Q1" s="1" t="s">
        <v>15</v>
      </c>
      <c r="R1" s="1" t="s">
        <v>16</v>
      </c>
      <c r="S1" s="1" t="s">
        <v>159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32</v>
      </c>
      <c r="AJ1" s="1" t="s">
        <v>33</v>
      </c>
      <c r="AK1" s="1" t="s">
        <v>34</v>
      </c>
      <c r="AL1" s="1" t="s">
        <v>35</v>
      </c>
      <c r="AM1" s="1" t="s">
        <v>36</v>
      </c>
      <c r="AN1" s="1" t="s">
        <v>37</v>
      </c>
      <c r="AO1" s="1" t="s">
        <v>38</v>
      </c>
      <c r="AP1" s="1" t="s">
        <v>39</v>
      </c>
      <c r="AQ1" s="1" t="s">
        <v>40</v>
      </c>
      <c r="AR1" s="1" t="s">
        <v>41</v>
      </c>
      <c r="AS1" s="1" t="s">
        <v>42</v>
      </c>
      <c r="AT1" s="1" t="s">
        <v>43</v>
      </c>
      <c r="AU1" s="1" t="s">
        <v>44</v>
      </c>
      <c r="AV1" s="1" t="s">
        <v>45</v>
      </c>
      <c r="AW1" s="1" t="s">
        <v>46</v>
      </c>
      <c r="AX1" s="1" t="s">
        <v>47</v>
      </c>
      <c r="AY1" s="2" t="s">
        <v>48</v>
      </c>
      <c r="AZ1" s="1" t="s">
        <v>49</v>
      </c>
      <c r="BA1" s="1" t="s">
        <v>50</v>
      </c>
      <c r="BB1" s="2" t="s">
        <v>51</v>
      </c>
      <c r="BC1" s="1" t="s">
        <v>52</v>
      </c>
      <c r="BD1" s="1" t="s">
        <v>53</v>
      </c>
      <c r="BE1" s="1" t="s">
        <v>54</v>
      </c>
      <c r="BF1" s="1" t="s">
        <v>55</v>
      </c>
      <c r="BG1" s="1" t="s">
        <v>56</v>
      </c>
      <c r="BH1" s="25" t="s">
        <v>156</v>
      </c>
      <c r="BI1" s="25" t="s">
        <v>157</v>
      </c>
      <c r="BJ1" s="1" t="s">
        <v>57</v>
      </c>
      <c r="BK1" s="2" t="s">
        <v>133</v>
      </c>
      <c r="BL1" s="3" t="s">
        <v>58</v>
      </c>
      <c r="BM1" s="2" t="s">
        <v>134</v>
      </c>
      <c r="BN1" s="2" t="s">
        <v>135</v>
      </c>
      <c r="BO1" s="2" t="s">
        <v>136</v>
      </c>
      <c r="BP1" s="2" t="s">
        <v>137</v>
      </c>
      <c r="BQ1" s="2" t="s">
        <v>138</v>
      </c>
      <c r="BR1" s="2" t="s">
        <v>0</v>
      </c>
    </row>
    <row r="2" spans="1:70" ht="13.2" x14ac:dyDescent="0.25">
      <c r="A2" s="1" t="s">
        <v>59</v>
      </c>
      <c r="B2" s="4"/>
      <c r="C2" s="5" t="s">
        <v>60</v>
      </c>
      <c r="D2" s="6"/>
      <c r="E2" s="4"/>
      <c r="F2" s="4"/>
      <c r="G2" s="5" t="s">
        <v>61</v>
      </c>
      <c r="H2" s="6"/>
      <c r="I2" s="6"/>
      <c r="J2" s="6"/>
      <c r="K2" s="5" t="s">
        <v>62</v>
      </c>
      <c r="L2" s="4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4"/>
      <c r="BG2" s="7"/>
      <c r="BH2" s="7"/>
      <c r="BI2" s="7"/>
      <c r="BJ2" s="7"/>
      <c r="BK2" s="6"/>
      <c r="BL2" s="8">
        <f>ColorFunction(BK2,B2:BJ2,FALSE)</f>
        <v>4</v>
      </c>
      <c r="BM2">
        <f>ColorFunction(BQ2,B2:BJ2,FALSE)</f>
        <v>49</v>
      </c>
      <c r="BN2">
        <f>BL2+ColorFunction(BP2,B2:BJ2,FALSE)</f>
        <v>12</v>
      </c>
      <c r="BO2">
        <f>61-BM2-BN2</f>
        <v>0</v>
      </c>
      <c r="BP2" s="4"/>
      <c r="BQ2" s="7"/>
      <c r="BR2" s="2" t="s">
        <v>59</v>
      </c>
    </row>
    <row r="3" spans="1:70" ht="13.2" x14ac:dyDescent="0.25">
      <c r="A3" s="1" t="s">
        <v>63</v>
      </c>
      <c r="B3" s="26" t="s">
        <v>64</v>
      </c>
      <c r="C3" s="4"/>
      <c r="D3" s="7"/>
      <c r="E3" s="7"/>
      <c r="F3" s="4"/>
      <c r="G3" s="7"/>
      <c r="H3" s="7"/>
      <c r="I3" s="7"/>
      <c r="J3" s="7"/>
      <c r="K3" s="4"/>
      <c r="L3" s="4"/>
      <c r="M3" s="4"/>
      <c r="N3" s="6"/>
      <c r="O3" s="4"/>
      <c r="P3" s="7"/>
      <c r="Q3" s="7"/>
      <c r="R3" s="7"/>
      <c r="S3" s="4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6"/>
      <c r="BL3" s="8">
        <f t="shared" ref="BL3:BL19" si="0">ColorFunction(BK3,B3:BJ3,FALSE)</f>
        <v>1</v>
      </c>
      <c r="BM3">
        <f t="shared" ref="BM3:BM19" si="1">ColorFunction(BQ3,B3:BJ3,FALSE)</f>
        <v>52</v>
      </c>
      <c r="BN3">
        <f t="shared" ref="BN3:BN19" si="2">BL3+ColorFunction(BP3,B3:BJ3,FALSE)</f>
        <v>9</v>
      </c>
      <c r="BO3">
        <f t="shared" ref="BO3:BO19" si="3">61-BM3-BN3</f>
        <v>0</v>
      </c>
      <c r="BP3" s="4"/>
      <c r="BQ3" s="7"/>
      <c r="BR3" s="2" t="s">
        <v>63</v>
      </c>
    </row>
    <row r="4" spans="1:70" ht="17.25" customHeight="1" thickBot="1" x14ac:dyDescent="0.3">
      <c r="A4" s="1" t="s">
        <v>65</v>
      </c>
      <c r="B4" s="26" t="s">
        <v>64</v>
      </c>
      <c r="C4" s="9" t="s">
        <v>66</v>
      </c>
      <c r="D4" s="7"/>
      <c r="E4" s="4"/>
      <c r="F4" s="4"/>
      <c r="G4" s="7"/>
      <c r="H4" s="7"/>
      <c r="I4" s="7"/>
      <c r="J4" s="7"/>
      <c r="K4" s="10" t="s">
        <v>67</v>
      </c>
      <c r="L4" s="11"/>
      <c r="M4" s="7"/>
      <c r="N4" s="12"/>
      <c r="O4" s="5" t="s">
        <v>68</v>
      </c>
      <c r="P4" s="7"/>
      <c r="Q4" s="7"/>
      <c r="R4" s="7"/>
      <c r="S4" s="7"/>
      <c r="T4" s="4"/>
      <c r="U4" s="7"/>
      <c r="V4" s="7"/>
      <c r="W4" s="7"/>
      <c r="X4" s="7"/>
      <c r="Y4" s="7"/>
      <c r="Z4" s="4"/>
      <c r="AA4" s="33" t="s">
        <v>69</v>
      </c>
      <c r="AB4" s="7"/>
      <c r="AC4" s="7"/>
      <c r="AD4" s="7"/>
      <c r="AE4" s="7"/>
      <c r="AF4" s="13"/>
      <c r="AG4" s="29"/>
      <c r="AH4" s="29"/>
      <c r="AI4" s="5" t="s">
        <v>70</v>
      </c>
      <c r="AJ4" s="29"/>
      <c r="AK4" s="29"/>
      <c r="AL4" s="29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4"/>
      <c r="BF4" s="7"/>
      <c r="BG4" s="7"/>
      <c r="BH4" s="7"/>
      <c r="BI4" s="7"/>
      <c r="BJ4" s="7"/>
      <c r="BK4" s="6"/>
      <c r="BL4" s="8">
        <f t="shared" si="0"/>
        <v>0</v>
      </c>
      <c r="BM4">
        <f t="shared" si="1"/>
        <v>50</v>
      </c>
      <c r="BN4">
        <f t="shared" si="2"/>
        <v>11</v>
      </c>
      <c r="BO4">
        <f t="shared" si="3"/>
        <v>0</v>
      </c>
      <c r="BP4" s="4"/>
      <c r="BQ4" s="7"/>
      <c r="BR4" s="2" t="s">
        <v>65</v>
      </c>
    </row>
    <row r="5" spans="1:70" ht="13.8" thickBot="1" x14ac:dyDescent="0.3">
      <c r="A5" s="1" t="s">
        <v>71</v>
      </c>
      <c r="B5" s="4"/>
      <c r="C5" s="27"/>
      <c r="D5" s="7"/>
      <c r="E5" s="4"/>
      <c r="F5" s="4"/>
      <c r="G5" s="7"/>
      <c r="H5" s="7"/>
      <c r="I5" s="7"/>
      <c r="J5" s="7"/>
      <c r="K5" s="5" t="s">
        <v>14</v>
      </c>
      <c r="L5" s="4"/>
      <c r="M5" s="4"/>
      <c r="N5" s="12"/>
      <c r="O5" s="34"/>
      <c r="P5" s="22"/>
      <c r="Q5" s="22"/>
      <c r="R5" s="4"/>
      <c r="S5" s="4"/>
      <c r="T5" s="12"/>
      <c r="U5" s="12"/>
      <c r="V5" s="6"/>
      <c r="W5" s="7"/>
      <c r="X5" s="7"/>
      <c r="Y5" s="7"/>
      <c r="Z5" s="7"/>
      <c r="AA5" s="7"/>
      <c r="AB5" s="34"/>
      <c r="AC5" s="29"/>
      <c r="AD5" s="29"/>
      <c r="AE5" s="29"/>
      <c r="AF5" s="13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7"/>
      <c r="BH5" s="7"/>
      <c r="BI5" s="7"/>
      <c r="BJ5" s="7"/>
      <c r="BK5" s="6"/>
      <c r="BL5" s="8">
        <f t="shared" si="0"/>
        <v>1</v>
      </c>
      <c r="BM5">
        <f t="shared" si="1"/>
        <v>47</v>
      </c>
      <c r="BN5">
        <f t="shared" si="2"/>
        <v>14</v>
      </c>
      <c r="BO5">
        <f t="shared" si="3"/>
        <v>0</v>
      </c>
      <c r="BP5" s="4"/>
      <c r="BQ5" s="7"/>
      <c r="BR5" s="2" t="s">
        <v>71</v>
      </c>
    </row>
    <row r="6" spans="1:70" ht="13.2" x14ac:dyDescent="0.25">
      <c r="A6" s="1" t="s">
        <v>72</v>
      </c>
      <c r="B6" s="26" t="s">
        <v>64</v>
      </c>
      <c r="C6" s="7"/>
      <c r="D6" s="7"/>
      <c r="E6" s="7"/>
      <c r="F6" s="7"/>
      <c r="G6" s="7"/>
      <c r="H6" s="7"/>
      <c r="I6" s="7"/>
      <c r="J6" s="7"/>
      <c r="K6" s="7"/>
      <c r="L6" s="4"/>
      <c r="M6" s="7"/>
      <c r="N6" s="7"/>
      <c r="O6" s="7"/>
      <c r="P6" s="7"/>
      <c r="Q6" s="7"/>
      <c r="R6" s="7"/>
      <c r="S6" s="7"/>
      <c r="T6" s="4"/>
      <c r="U6" s="6"/>
      <c r="V6" s="7"/>
      <c r="W6" s="7"/>
      <c r="X6" s="7"/>
      <c r="Y6" s="7"/>
      <c r="Z6" s="7"/>
      <c r="AA6" s="7"/>
      <c r="AB6" s="7"/>
      <c r="AC6" s="7"/>
      <c r="AD6" s="7"/>
      <c r="AE6" s="7"/>
      <c r="AF6" s="13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6"/>
      <c r="BL6" s="8">
        <f t="shared" si="0"/>
        <v>1</v>
      </c>
      <c r="BM6">
        <f t="shared" si="1"/>
        <v>57</v>
      </c>
      <c r="BN6">
        <f t="shared" si="2"/>
        <v>4</v>
      </c>
      <c r="BO6">
        <f t="shared" si="3"/>
        <v>0</v>
      </c>
      <c r="BP6" s="4"/>
      <c r="BQ6" s="7"/>
      <c r="BR6" s="2" t="s">
        <v>72</v>
      </c>
    </row>
    <row r="7" spans="1:70" ht="13.2" x14ac:dyDescent="0.25">
      <c r="A7" s="1" t="s">
        <v>73</v>
      </c>
      <c r="B7" s="4"/>
      <c r="C7" s="7"/>
      <c r="D7" s="7"/>
      <c r="E7" s="7"/>
      <c r="F7" s="7"/>
      <c r="G7" s="7"/>
      <c r="H7" s="7"/>
      <c r="I7" s="7"/>
      <c r="J7" s="7"/>
      <c r="K7" s="4"/>
      <c r="L7" s="4"/>
      <c r="M7" s="4"/>
      <c r="N7" s="7"/>
      <c r="O7" s="7"/>
      <c r="P7" s="7"/>
      <c r="Q7" s="7"/>
      <c r="R7" s="7"/>
      <c r="S7" s="7"/>
      <c r="T7" s="4"/>
      <c r="U7" s="7"/>
      <c r="V7" s="7"/>
      <c r="W7" s="6"/>
      <c r="X7" s="4"/>
      <c r="Y7" s="4"/>
      <c r="Z7" s="4"/>
      <c r="AA7" s="4"/>
      <c r="AB7" s="7"/>
      <c r="AC7" s="7"/>
      <c r="AD7" s="7"/>
      <c r="AE7" s="13">
        <v>0</v>
      </c>
      <c r="AF7" s="13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6"/>
      <c r="BL7" s="8">
        <f t="shared" si="0"/>
        <v>1</v>
      </c>
      <c r="BM7">
        <f t="shared" si="1"/>
        <v>51</v>
      </c>
      <c r="BN7">
        <f t="shared" si="2"/>
        <v>10</v>
      </c>
      <c r="BO7">
        <f t="shared" si="3"/>
        <v>0</v>
      </c>
      <c r="BP7" s="4"/>
      <c r="BQ7" s="7"/>
      <c r="BR7" s="2" t="s">
        <v>73</v>
      </c>
    </row>
    <row r="8" spans="1:70" ht="13.8" thickBot="1" x14ac:dyDescent="0.3">
      <c r="A8" s="1" t="s">
        <v>74</v>
      </c>
      <c r="B8" s="4"/>
      <c r="C8" s="5" t="s">
        <v>75</v>
      </c>
      <c r="D8" s="7"/>
      <c r="E8" s="5" t="s">
        <v>76</v>
      </c>
      <c r="F8" s="4"/>
      <c r="G8" s="4"/>
      <c r="H8" s="7"/>
      <c r="I8" s="7"/>
      <c r="J8" s="7"/>
      <c r="K8" s="5" t="s">
        <v>77</v>
      </c>
      <c r="L8" s="4"/>
      <c r="M8" s="4"/>
      <c r="N8" s="7"/>
      <c r="O8" s="7"/>
      <c r="P8" s="7"/>
      <c r="Q8" s="7"/>
      <c r="R8" s="4"/>
      <c r="S8" s="7"/>
      <c r="T8" s="7"/>
      <c r="U8" s="7"/>
      <c r="V8" s="7"/>
      <c r="W8" s="7"/>
      <c r="X8" s="4"/>
      <c r="Y8" s="7"/>
      <c r="Z8" s="4"/>
      <c r="AA8" s="7"/>
      <c r="AB8" s="4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4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4"/>
      <c r="BG8" s="7"/>
      <c r="BH8" s="7"/>
      <c r="BI8" s="7"/>
      <c r="BJ8" s="7"/>
      <c r="BK8" s="6"/>
      <c r="BL8" s="8">
        <f t="shared" si="0"/>
        <v>0</v>
      </c>
      <c r="BM8">
        <f t="shared" si="1"/>
        <v>47</v>
      </c>
      <c r="BN8">
        <f t="shared" si="2"/>
        <v>14</v>
      </c>
      <c r="BO8">
        <f t="shared" si="3"/>
        <v>0</v>
      </c>
      <c r="BP8" s="4"/>
      <c r="BQ8" s="7"/>
      <c r="BR8" s="2" t="s">
        <v>74</v>
      </c>
    </row>
    <row r="9" spans="1:70" ht="14.25" customHeight="1" thickBot="1" x14ac:dyDescent="0.3">
      <c r="A9" s="1" t="s">
        <v>78</v>
      </c>
      <c r="B9" s="26" t="s">
        <v>64</v>
      </c>
      <c r="C9" s="5" t="s">
        <v>79</v>
      </c>
      <c r="D9" s="7"/>
      <c r="E9" s="5" t="s">
        <v>80</v>
      </c>
      <c r="F9" s="5" t="s">
        <v>80</v>
      </c>
      <c r="G9" s="7"/>
      <c r="H9" s="7"/>
      <c r="I9" s="7"/>
      <c r="J9" s="7"/>
      <c r="K9" s="5" t="s">
        <v>81</v>
      </c>
      <c r="L9" s="11"/>
      <c r="M9" s="4"/>
      <c r="N9" s="7"/>
      <c r="O9" s="5" t="s">
        <v>82</v>
      </c>
      <c r="P9" s="30" t="s">
        <v>83</v>
      </c>
      <c r="Q9" s="31"/>
      <c r="R9" s="31"/>
      <c r="S9" s="4"/>
      <c r="T9" s="5"/>
      <c r="U9" s="7"/>
      <c r="V9" s="7"/>
      <c r="W9" s="7"/>
      <c r="X9" s="7"/>
      <c r="Y9" s="7"/>
      <c r="Z9" s="4"/>
      <c r="AA9" s="33" t="s">
        <v>69</v>
      </c>
      <c r="AB9" s="5" t="s">
        <v>84</v>
      </c>
      <c r="AC9" s="5" t="s">
        <v>85</v>
      </c>
      <c r="AD9" s="7"/>
      <c r="AE9" s="14" t="s">
        <v>86</v>
      </c>
      <c r="AF9" s="13"/>
      <c r="AG9" s="5" t="s">
        <v>87</v>
      </c>
      <c r="AH9" s="5" t="s">
        <v>88</v>
      </c>
      <c r="AI9" s="15" t="s">
        <v>89</v>
      </c>
      <c r="AJ9" s="4"/>
      <c r="AK9" s="4"/>
      <c r="AL9" s="4"/>
      <c r="AM9" s="4"/>
      <c r="AN9" s="6"/>
      <c r="AO9" s="6"/>
      <c r="AP9" s="4"/>
      <c r="AQ9" s="4"/>
      <c r="AR9" s="4"/>
      <c r="AS9" s="6"/>
      <c r="AT9" s="6"/>
      <c r="AU9" s="6"/>
      <c r="AV9" s="4"/>
      <c r="AW9" s="6"/>
      <c r="AX9" s="6"/>
      <c r="AY9" s="6"/>
      <c r="AZ9" s="22"/>
      <c r="BA9" s="6"/>
      <c r="BB9" s="6"/>
      <c r="BC9" s="7"/>
      <c r="BD9" s="9" t="s">
        <v>90</v>
      </c>
      <c r="BE9" s="4"/>
      <c r="BF9" s="7"/>
      <c r="BG9" s="7"/>
      <c r="BH9" s="7"/>
      <c r="BI9" s="7"/>
      <c r="BJ9" s="7"/>
      <c r="BK9" s="6"/>
      <c r="BL9" s="8">
        <f t="shared" si="0"/>
        <v>10</v>
      </c>
      <c r="BM9">
        <f t="shared" si="1"/>
        <v>24</v>
      </c>
      <c r="BN9">
        <f t="shared" si="2"/>
        <v>37</v>
      </c>
      <c r="BO9">
        <f t="shared" si="3"/>
        <v>0</v>
      </c>
      <c r="BP9" s="4"/>
      <c r="BQ9" s="7"/>
      <c r="BR9" s="2" t="s">
        <v>78</v>
      </c>
    </row>
    <row r="10" spans="1:70" ht="13.2" x14ac:dyDescent="0.25">
      <c r="A10" s="1" t="s">
        <v>91</v>
      </c>
      <c r="B10" s="4"/>
      <c r="C10" s="28"/>
      <c r="D10" s="7"/>
      <c r="E10" s="4"/>
      <c r="F10" s="4"/>
      <c r="G10" s="7"/>
      <c r="H10" s="7"/>
      <c r="I10" s="7"/>
      <c r="J10" s="7"/>
      <c r="K10" s="7"/>
      <c r="L10" s="4"/>
      <c r="M10" s="7"/>
      <c r="N10" s="7"/>
      <c r="O10" s="7"/>
      <c r="P10" s="7"/>
      <c r="Q10" s="7"/>
      <c r="R10" s="7"/>
      <c r="S10" s="7"/>
      <c r="T10" s="4"/>
      <c r="U10" s="7"/>
      <c r="V10" s="7"/>
      <c r="W10" s="7"/>
      <c r="X10" s="4"/>
      <c r="Y10" s="7"/>
      <c r="Z10" s="4"/>
      <c r="AA10" s="7"/>
      <c r="AB10" s="7"/>
      <c r="AC10" s="7"/>
      <c r="AD10" s="6"/>
      <c r="AE10" s="6"/>
      <c r="AF10" s="6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6"/>
      <c r="BL10" s="8">
        <f t="shared" si="0"/>
        <v>3</v>
      </c>
      <c r="BM10">
        <f t="shared" si="1"/>
        <v>50</v>
      </c>
      <c r="BN10">
        <f t="shared" si="2"/>
        <v>11</v>
      </c>
      <c r="BO10">
        <f t="shared" si="3"/>
        <v>0</v>
      </c>
      <c r="BP10" s="4"/>
      <c r="BQ10" s="7"/>
      <c r="BR10" s="2" t="s">
        <v>91</v>
      </c>
    </row>
    <row r="11" spans="1:70" ht="15.75" customHeight="1" x14ac:dyDescent="0.25">
      <c r="A11" s="1" t="s">
        <v>92</v>
      </c>
      <c r="B11" s="4"/>
      <c r="C11" s="9" t="s">
        <v>93</v>
      </c>
      <c r="D11" s="7"/>
      <c r="E11" s="5" t="s">
        <v>94</v>
      </c>
      <c r="F11" s="5" t="s">
        <v>94</v>
      </c>
      <c r="G11" s="7"/>
      <c r="H11" s="7"/>
      <c r="I11" s="7"/>
      <c r="J11" s="7"/>
      <c r="K11" s="5" t="s">
        <v>95</v>
      </c>
      <c r="L11" s="4"/>
      <c r="M11" s="4"/>
      <c r="N11" s="7"/>
      <c r="O11" s="5" t="s">
        <v>96</v>
      </c>
      <c r="P11" s="7"/>
      <c r="Q11" s="7"/>
      <c r="R11" s="7"/>
      <c r="S11" s="4"/>
      <c r="T11" s="4"/>
      <c r="U11" s="7"/>
      <c r="V11" s="7"/>
      <c r="W11" s="7"/>
      <c r="X11" s="4"/>
      <c r="Y11" s="7"/>
      <c r="Z11" s="4"/>
      <c r="AA11" s="7"/>
      <c r="AB11" s="7"/>
      <c r="AC11" s="7"/>
      <c r="AD11" s="7"/>
      <c r="AE11" s="7"/>
      <c r="AF11" s="7"/>
      <c r="AG11" s="4"/>
      <c r="AH11" s="4"/>
      <c r="AI11" s="35" t="s">
        <v>97</v>
      </c>
      <c r="AJ11" s="5" t="s">
        <v>98</v>
      </c>
      <c r="AK11" s="7"/>
      <c r="AL11" s="7"/>
      <c r="AM11" s="7"/>
      <c r="AN11" s="7"/>
      <c r="AO11" s="7"/>
      <c r="AP11" s="7"/>
      <c r="AQ11" s="7"/>
      <c r="AR11" s="4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6"/>
      <c r="BL11" s="8">
        <f t="shared" si="0"/>
        <v>0</v>
      </c>
      <c r="BM11">
        <f t="shared" si="1"/>
        <v>45</v>
      </c>
      <c r="BN11">
        <f t="shared" si="2"/>
        <v>16</v>
      </c>
      <c r="BO11">
        <f t="shared" si="3"/>
        <v>0</v>
      </c>
      <c r="BP11" s="4"/>
      <c r="BQ11" s="7"/>
      <c r="BR11" s="2" t="s">
        <v>92</v>
      </c>
    </row>
    <row r="12" spans="1:70" ht="13.2" x14ac:dyDescent="0.25">
      <c r="A12" s="1" t="s">
        <v>99</v>
      </c>
      <c r="B12" s="26" t="s">
        <v>100</v>
      </c>
      <c r="C12" s="7"/>
      <c r="D12" s="7"/>
      <c r="E12" s="7"/>
      <c r="F12" s="7"/>
      <c r="G12" s="7"/>
      <c r="H12" s="7"/>
      <c r="I12" s="7"/>
      <c r="J12" s="7"/>
      <c r="K12" s="7"/>
      <c r="L12" s="4"/>
      <c r="M12" s="7"/>
      <c r="N12" s="7"/>
      <c r="O12" s="7"/>
      <c r="P12" s="7"/>
      <c r="Q12" s="7"/>
      <c r="R12" s="7"/>
      <c r="S12" s="7"/>
      <c r="T12" s="4"/>
      <c r="U12" s="7"/>
      <c r="V12" s="7"/>
      <c r="W12" s="7"/>
      <c r="X12" s="4"/>
      <c r="Y12" s="7"/>
      <c r="Z12" s="4"/>
      <c r="AA12" s="7"/>
      <c r="AB12" s="4"/>
      <c r="AC12" s="7"/>
      <c r="AD12" s="7"/>
      <c r="AE12" s="7"/>
      <c r="AF12" s="7"/>
      <c r="AG12" s="7"/>
      <c r="AH12" s="4"/>
      <c r="AI12" s="4"/>
      <c r="AJ12" s="4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6"/>
      <c r="BL12" s="8">
        <f t="shared" si="0"/>
        <v>0</v>
      </c>
      <c r="BM12">
        <f t="shared" si="1"/>
        <v>52</v>
      </c>
      <c r="BN12">
        <f t="shared" si="2"/>
        <v>9</v>
      </c>
      <c r="BO12">
        <f t="shared" si="3"/>
        <v>0</v>
      </c>
      <c r="BP12" s="4"/>
      <c r="BQ12" s="7"/>
      <c r="BR12" s="2" t="s">
        <v>99</v>
      </c>
    </row>
    <row r="13" spans="1:70" ht="14.25" customHeight="1" x14ac:dyDescent="0.25">
      <c r="A13" s="1" t="s">
        <v>101</v>
      </c>
      <c r="B13" s="26" t="s">
        <v>64</v>
      </c>
      <c r="C13" s="9"/>
      <c r="D13" s="7"/>
      <c r="E13" s="7"/>
      <c r="F13" s="7"/>
      <c r="G13" s="7"/>
      <c r="H13" s="7"/>
      <c r="I13" s="7"/>
      <c r="J13" s="7"/>
      <c r="K13" s="7"/>
      <c r="L13" s="4"/>
      <c r="M13" s="4"/>
      <c r="N13" s="7"/>
      <c r="O13" s="7"/>
      <c r="P13" s="7"/>
      <c r="Q13" s="7"/>
      <c r="R13" s="7"/>
      <c r="S13" s="7"/>
      <c r="T13" s="4"/>
      <c r="U13" s="7"/>
      <c r="V13" s="7"/>
      <c r="W13" s="7"/>
      <c r="X13" s="7"/>
      <c r="Y13" s="7"/>
      <c r="Z13" s="4"/>
      <c r="AA13" s="7"/>
      <c r="AB13" s="39" t="s">
        <v>102</v>
      </c>
      <c r="AC13" s="7"/>
      <c r="AD13" s="7"/>
      <c r="AE13" s="7"/>
      <c r="AF13" s="7"/>
      <c r="AG13" s="4"/>
      <c r="AH13" s="4"/>
      <c r="AI13" s="5" t="s">
        <v>103</v>
      </c>
      <c r="AJ13" s="7"/>
      <c r="AK13" s="7"/>
      <c r="AL13" s="5" t="s">
        <v>104</v>
      </c>
      <c r="AM13" s="5" t="s">
        <v>105</v>
      </c>
      <c r="AN13" s="7"/>
      <c r="AO13" s="7"/>
      <c r="AP13" s="4"/>
      <c r="AQ13" s="4"/>
      <c r="AR13" s="4"/>
      <c r="AS13" s="7"/>
      <c r="AT13" s="7"/>
      <c r="AU13" s="7"/>
      <c r="AV13" s="5" t="s">
        <v>105</v>
      </c>
      <c r="AW13" s="7"/>
      <c r="AX13" s="7"/>
      <c r="AY13" s="7"/>
      <c r="AZ13" s="7"/>
      <c r="BA13" s="7"/>
      <c r="BB13" s="7"/>
      <c r="BC13" s="16" t="s">
        <v>106</v>
      </c>
      <c r="BD13" s="17" t="s">
        <v>107</v>
      </c>
      <c r="BE13" s="4"/>
      <c r="BF13" s="4"/>
      <c r="BG13" s="7"/>
      <c r="BH13" s="7"/>
      <c r="BI13" s="7"/>
      <c r="BJ13" s="7"/>
      <c r="BK13" s="6"/>
      <c r="BL13" s="8">
        <f t="shared" si="0"/>
        <v>1</v>
      </c>
      <c r="BM13">
        <f t="shared" si="1"/>
        <v>41</v>
      </c>
      <c r="BN13">
        <f t="shared" si="2"/>
        <v>20</v>
      </c>
      <c r="BO13">
        <f t="shared" si="3"/>
        <v>0</v>
      </c>
      <c r="BP13" s="4"/>
      <c r="BQ13" s="7"/>
      <c r="BR13" s="2" t="s">
        <v>101</v>
      </c>
    </row>
    <row r="14" spans="1:70" ht="13.2" x14ac:dyDescent="0.25">
      <c r="A14" s="1" t="s">
        <v>108</v>
      </c>
      <c r="B14" s="4"/>
      <c r="C14" s="5"/>
      <c r="D14" s="7"/>
      <c r="E14" s="4"/>
      <c r="F14" s="4"/>
      <c r="G14" s="7"/>
      <c r="H14" s="7"/>
      <c r="I14" s="7"/>
      <c r="J14" s="7"/>
      <c r="K14" s="5" t="s">
        <v>109</v>
      </c>
      <c r="L14" s="4"/>
      <c r="M14" s="7"/>
      <c r="N14" s="7"/>
      <c r="O14" s="29"/>
      <c r="P14" s="7"/>
      <c r="Q14" s="7"/>
      <c r="R14" s="7"/>
      <c r="S14" s="7"/>
      <c r="T14" s="4"/>
      <c r="U14" s="7"/>
      <c r="V14" s="7"/>
      <c r="W14" s="7"/>
      <c r="X14" s="7"/>
      <c r="Y14" s="7"/>
      <c r="Z14" s="4"/>
      <c r="AA14" s="33" t="s">
        <v>69</v>
      </c>
      <c r="AB14" s="4"/>
      <c r="AC14" s="7"/>
      <c r="AD14" s="7"/>
      <c r="AE14" s="7"/>
      <c r="AF14" s="7"/>
      <c r="AG14" s="7"/>
      <c r="AH14" s="33" t="s">
        <v>110</v>
      </c>
      <c r="AI14" s="7"/>
      <c r="AJ14" s="7"/>
      <c r="AK14" s="7"/>
      <c r="AL14" s="7"/>
      <c r="AM14" s="7"/>
      <c r="AN14" s="7"/>
      <c r="AO14" s="7"/>
      <c r="AP14" s="14" t="s">
        <v>111</v>
      </c>
      <c r="AQ14" s="7"/>
      <c r="AR14" s="4"/>
      <c r="AS14" s="14" t="s">
        <v>111</v>
      </c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4"/>
      <c r="BF14" s="7"/>
      <c r="BG14" s="7"/>
      <c r="BH14" s="7"/>
      <c r="BI14" s="7"/>
      <c r="BJ14" s="7"/>
      <c r="BK14" s="6"/>
      <c r="BL14" s="8">
        <f t="shared" si="0"/>
        <v>0</v>
      </c>
      <c r="BM14">
        <f t="shared" si="1"/>
        <v>50</v>
      </c>
      <c r="BN14">
        <f t="shared" si="2"/>
        <v>11</v>
      </c>
      <c r="BO14">
        <f t="shared" si="3"/>
        <v>0</v>
      </c>
      <c r="BP14" s="4"/>
      <c r="BQ14" s="7"/>
      <c r="BR14" s="2" t="s">
        <v>108</v>
      </c>
    </row>
    <row r="15" spans="1:70" ht="13.2" x14ac:dyDescent="0.25">
      <c r="A15" s="18" t="s">
        <v>112</v>
      </c>
      <c r="B15" s="26" t="s">
        <v>64</v>
      </c>
      <c r="C15" s="5" t="s">
        <v>113</v>
      </c>
      <c r="D15" s="7"/>
      <c r="E15" s="5" t="s">
        <v>114</v>
      </c>
      <c r="F15" s="5" t="s">
        <v>114</v>
      </c>
      <c r="G15" s="7"/>
      <c r="H15" s="7"/>
      <c r="I15" s="7"/>
      <c r="J15" s="7"/>
      <c r="K15" s="7"/>
      <c r="L15" s="5" t="s">
        <v>114</v>
      </c>
      <c r="M15" s="13"/>
      <c r="N15" s="7"/>
      <c r="O15" s="7"/>
      <c r="P15" s="7"/>
      <c r="Q15" s="7"/>
      <c r="R15" s="7"/>
      <c r="S15" s="35" t="s">
        <v>115</v>
      </c>
      <c r="T15" s="5" t="s">
        <v>114</v>
      </c>
      <c r="U15" s="7"/>
      <c r="V15" s="7"/>
      <c r="W15" s="7"/>
      <c r="X15" s="7"/>
      <c r="Y15" s="7"/>
      <c r="Z15" s="5" t="s">
        <v>114</v>
      </c>
      <c r="AA15" s="7"/>
      <c r="AB15" s="5" t="s">
        <v>114</v>
      </c>
      <c r="AC15" s="7"/>
      <c r="AD15" s="7"/>
      <c r="AE15" s="7"/>
      <c r="AF15" s="7"/>
      <c r="AG15" s="7"/>
      <c r="AH15" s="7"/>
      <c r="AI15" s="5" t="s">
        <v>114</v>
      </c>
      <c r="AJ15" s="7"/>
      <c r="AK15" s="7"/>
      <c r="AL15" s="7"/>
      <c r="AM15" s="5" t="s">
        <v>114</v>
      </c>
      <c r="AN15" s="7"/>
      <c r="AO15" s="7"/>
      <c r="AP15" s="5" t="s">
        <v>114</v>
      </c>
      <c r="AQ15" s="5" t="s">
        <v>114</v>
      </c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19" t="s">
        <v>114</v>
      </c>
      <c r="BF15" s="4"/>
      <c r="BG15" s="7"/>
      <c r="BH15" s="7"/>
      <c r="BI15" s="7"/>
      <c r="BJ15" s="7"/>
      <c r="BK15" s="6"/>
      <c r="BL15" s="8">
        <f t="shared" si="0"/>
        <v>0</v>
      </c>
      <c r="BM15">
        <f t="shared" si="1"/>
        <v>47</v>
      </c>
      <c r="BN15">
        <f t="shared" si="2"/>
        <v>14</v>
      </c>
      <c r="BO15">
        <f t="shared" si="3"/>
        <v>0</v>
      </c>
      <c r="BP15" s="4"/>
      <c r="BQ15" s="7"/>
      <c r="BR15" s="18" t="s">
        <v>112</v>
      </c>
    </row>
    <row r="16" spans="1:70" ht="17.25" customHeight="1" x14ac:dyDescent="0.25">
      <c r="A16" s="1" t="s">
        <v>116</v>
      </c>
      <c r="B16" s="4"/>
      <c r="C16" s="5" t="s">
        <v>117</v>
      </c>
      <c r="D16" s="7"/>
      <c r="E16" s="4"/>
      <c r="F16" s="4"/>
      <c r="G16" s="7"/>
      <c r="H16" s="7"/>
      <c r="I16" s="7"/>
      <c r="J16" s="7"/>
      <c r="K16" s="9" t="s">
        <v>118</v>
      </c>
      <c r="L16" s="4"/>
      <c r="M16" s="4"/>
      <c r="N16" s="7"/>
      <c r="O16" s="5" t="s">
        <v>119</v>
      </c>
      <c r="P16" s="7"/>
      <c r="Q16" s="7"/>
      <c r="R16" s="7"/>
      <c r="S16" s="38"/>
      <c r="T16" s="4"/>
      <c r="U16" s="7"/>
      <c r="V16" s="7"/>
      <c r="W16" s="7"/>
      <c r="X16" s="7"/>
      <c r="Y16" s="4"/>
      <c r="Z16" s="4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4"/>
      <c r="AL16" s="7"/>
      <c r="AM16" s="7"/>
      <c r="AN16" s="7"/>
      <c r="AO16" s="7"/>
      <c r="AP16" s="7"/>
      <c r="AQ16" s="7"/>
      <c r="AR16" s="4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6"/>
      <c r="BL16" s="8">
        <f t="shared" si="0"/>
        <v>0</v>
      </c>
      <c r="BM16">
        <f t="shared" si="1"/>
        <v>48</v>
      </c>
      <c r="BN16">
        <f t="shared" si="2"/>
        <v>13</v>
      </c>
      <c r="BO16">
        <f t="shared" si="3"/>
        <v>0</v>
      </c>
      <c r="BP16" s="4"/>
      <c r="BQ16" s="7"/>
      <c r="BR16" s="2" t="s">
        <v>116</v>
      </c>
    </row>
    <row r="17" spans="1:70" ht="13.8" thickBot="1" x14ac:dyDescent="0.3">
      <c r="A17" s="1" t="s">
        <v>120</v>
      </c>
      <c r="B17" s="5" t="s">
        <v>121</v>
      </c>
      <c r="C17" s="5" t="s">
        <v>122</v>
      </c>
      <c r="D17" s="7"/>
      <c r="E17" s="4"/>
      <c r="F17" s="4"/>
      <c r="G17" s="7"/>
      <c r="H17" s="7"/>
      <c r="I17" s="7"/>
      <c r="J17" s="7"/>
      <c r="K17" s="17" t="s">
        <v>123</v>
      </c>
      <c r="L17" s="4"/>
      <c r="M17" s="4"/>
      <c r="N17" s="7"/>
      <c r="O17" s="5" t="s">
        <v>124</v>
      </c>
      <c r="P17" s="7"/>
      <c r="Q17" s="7"/>
      <c r="R17" s="7"/>
      <c r="S17" s="7"/>
      <c r="T17" s="4"/>
      <c r="U17" s="7"/>
      <c r="V17" s="7"/>
      <c r="W17" s="7"/>
      <c r="X17" s="4"/>
      <c r="Y17" s="7"/>
      <c r="Z17" s="4"/>
      <c r="AA17" s="32"/>
      <c r="AB17" s="4"/>
      <c r="AC17" s="7"/>
      <c r="AD17" s="7"/>
      <c r="AE17" s="7"/>
      <c r="AF17" s="7"/>
      <c r="AG17" s="7"/>
      <c r="AH17" s="17" t="s">
        <v>125</v>
      </c>
      <c r="AI17" s="36" t="s">
        <v>126</v>
      </c>
      <c r="AJ17" s="4"/>
      <c r="AK17" s="4"/>
      <c r="AL17" s="4"/>
      <c r="AM17" s="7"/>
      <c r="AN17" s="7"/>
      <c r="AO17" s="7"/>
      <c r="AP17" s="7"/>
      <c r="AQ17" s="7"/>
      <c r="AR17" s="4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4"/>
      <c r="BF17" s="4"/>
      <c r="BG17" s="6"/>
      <c r="BH17" s="7"/>
      <c r="BI17" s="7"/>
      <c r="BJ17" s="6"/>
      <c r="BK17" s="6"/>
      <c r="BL17" s="8">
        <f t="shared" si="0"/>
        <v>2</v>
      </c>
      <c r="BM17">
        <f t="shared" si="1"/>
        <v>40</v>
      </c>
      <c r="BN17">
        <f t="shared" si="2"/>
        <v>21</v>
      </c>
      <c r="BO17">
        <f t="shared" si="3"/>
        <v>0</v>
      </c>
      <c r="BP17" s="4"/>
      <c r="BQ17" s="7"/>
      <c r="BR17" s="2" t="s">
        <v>120</v>
      </c>
    </row>
    <row r="18" spans="1:70" ht="13.8" thickBot="1" x14ac:dyDescent="0.3">
      <c r="A18" s="1" t="s">
        <v>127</v>
      </c>
      <c r="B18" s="22"/>
      <c r="C18" s="22" t="s">
        <v>144</v>
      </c>
      <c r="D18" s="23"/>
      <c r="E18" s="22"/>
      <c r="F18" s="22"/>
      <c r="G18" s="23"/>
      <c r="H18" s="23"/>
      <c r="I18" s="23"/>
      <c r="J18" s="23"/>
      <c r="K18" s="22" t="s">
        <v>145</v>
      </c>
      <c r="L18" s="22"/>
      <c r="M18" s="22"/>
      <c r="N18" s="23"/>
      <c r="O18" s="23"/>
      <c r="P18" s="22"/>
      <c r="Q18" s="22"/>
      <c r="R18" s="22" t="s">
        <v>146</v>
      </c>
      <c r="S18" s="23"/>
      <c r="T18" s="22"/>
      <c r="U18" s="23"/>
      <c r="V18" s="23"/>
      <c r="W18" s="23"/>
      <c r="X18" s="23"/>
      <c r="Y18" s="23"/>
      <c r="Z18" s="22"/>
      <c r="AA18" s="23"/>
      <c r="AB18" s="22"/>
      <c r="AC18" s="23"/>
      <c r="AD18" s="23"/>
      <c r="AE18" s="23"/>
      <c r="AF18" s="23"/>
      <c r="AG18" s="23"/>
      <c r="AH18" s="23"/>
      <c r="AI18" s="23"/>
      <c r="AJ18" s="22" t="s">
        <v>147</v>
      </c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 t="s">
        <v>148</v>
      </c>
      <c r="BH18" s="6"/>
      <c r="BI18" s="7"/>
      <c r="BJ18" s="23"/>
      <c r="BK18" s="6"/>
      <c r="BL18" s="8">
        <f t="shared" si="0"/>
        <v>1</v>
      </c>
      <c r="BM18">
        <f t="shared" si="1"/>
        <v>46</v>
      </c>
      <c r="BN18">
        <f t="shared" si="2"/>
        <v>15</v>
      </c>
      <c r="BO18">
        <f t="shared" si="3"/>
        <v>0</v>
      </c>
      <c r="BP18" s="4"/>
      <c r="BQ18" s="7"/>
      <c r="BR18" s="2" t="s">
        <v>127</v>
      </c>
    </row>
    <row r="19" spans="1:70" ht="13.8" thickBot="1" x14ac:dyDescent="0.3">
      <c r="A19" s="1" t="s">
        <v>128</v>
      </c>
      <c r="B19" s="22"/>
      <c r="C19" s="24" t="s">
        <v>149</v>
      </c>
      <c r="D19" s="23"/>
      <c r="E19" s="22" t="s">
        <v>150</v>
      </c>
      <c r="F19" s="22"/>
      <c r="G19" s="23"/>
      <c r="H19" s="23"/>
      <c r="I19" s="23"/>
      <c r="J19" s="23"/>
      <c r="K19" s="24" t="s">
        <v>151</v>
      </c>
      <c r="L19" s="22"/>
      <c r="M19" s="23"/>
      <c r="N19" s="23"/>
      <c r="O19" s="22"/>
      <c r="P19" s="23"/>
      <c r="Q19" s="23"/>
      <c r="R19" s="23"/>
      <c r="S19" s="23"/>
      <c r="T19" s="22"/>
      <c r="U19" s="23"/>
      <c r="V19" s="23"/>
      <c r="W19" s="23"/>
      <c r="X19" s="22"/>
      <c r="Y19" s="24" t="s">
        <v>152</v>
      </c>
      <c r="Z19" s="22"/>
      <c r="AA19" s="22" t="s">
        <v>153</v>
      </c>
      <c r="AB19" s="23"/>
      <c r="AC19" s="22" t="s">
        <v>153</v>
      </c>
      <c r="AD19" s="23"/>
      <c r="AE19" s="23"/>
      <c r="AF19" s="23"/>
      <c r="AG19" s="23" t="s">
        <v>154</v>
      </c>
      <c r="AH19" s="22"/>
      <c r="AI19" s="22"/>
      <c r="AJ19" s="22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2"/>
      <c r="BA19" s="23"/>
      <c r="BB19" s="23"/>
      <c r="BC19" s="23"/>
      <c r="BD19" s="24" t="s">
        <v>155</v>
      </c>
      <c r="BE19" s="23"/>
      <c r="BF19" s="23"/>
      <c r="BG19" s="23"/>
      <c r="BH19" s="23"/>
      <c r="BI19" s="6"/>
      <c r="BJ19" s="7"/>
      <c r="BK19" s="6"/>
      <c r="BL19" s="8">
        <f t="shared" si="0"/>
        <v>1</v>
      </c>
      <c r="BM19">
        <f t="shared" si="1"/>
        <v>42</v>
      </c>
      <c r="BN19">
        <f t="shared" si="2"/>
        <v>19</v>
      </c>
      <c r="BO19">
        <f t="shared" si="3"/>
        <v>0</v>
      </c>
      <c r="BP19" s="4"/>
      <c r="BQ19" s="7"/>
      <c r="BR19" s="2" t="s">
        <v>128</v>
      </c>
    </row>
    <row r="20" spans="1:70" ht="13.2" x14ac:dyDescent="0.25">
      <c r="A20" s="1" t="s">
        <v>129</v>
      </c>
      <c r="B20" s="20" t="s">
        <v>130</v>
      </c>
      <c r="C20" s="20" t="s">
        <v>130</v>
      </c>
      <c r="E20" s="20" t="s">
        <v>130</v>
      </c>
      <c r="F20" s="20" t="s">
        <v>130</v>
      </c>
      <c r="K20" s="20" t="s">
        <v>130</v>
      </c>
      <c r="L20" s="20" t="s">
        <v>130</v>
      </c>
      <c r="M20" s="20" t="s">
        <v>130</v>
      </c>
      <c r="T20" s="20" t="s">
        <v>130</v>
      </c>
      <c r="Z20" s="20" t="s">
        <v>130</v>
      </c>
      <c r="AR20" s="20" t="s">
        <v>130</v>
      </c>
      <c r="BK20" s="21"/>
      <c r="BL20" s="8"/>
      <c r="BR20" s="2" t="s">
        <v>129</v>
      </c>
    </row>
    <row r="21" spans="1:70" ht="13.2" x14ac:dyDescent="0.25">
      <c r="A21" s="1" t="s">
        <v>131</v>
      </c>
      <c r="C21" s="20" t="s">
        <v>132</v>
      </c>
      <c r="D21" s="20" t="s">
        <v>132</v>
      </c>
      <c r="E21" s="20" t="s">
        <v>132</v>
      </c>
      <c r="F21" s="20" t="s">
        <v>132</v>
      </c>
      <c r="K21" s="20" t="s">
        <v>132</v>
      </c>
      <c r="O21" s="20" t="s">
        <v>132</v>
      </c>
      <c r="P21" s="20" t="s">
        <v>132</v>
      </c>
      <c r="Q21" s="20" t="s">
        <v>132</v>
      </c>
      <c r="R21" s="20" t="s">
        <v>132</v>
      </c>
      <c r="S21" s="20" t="s">
        <v>132</v>
      </c>
      <c r="Y21" s="20" t="s">
        <v>132</v>
      </c>
      <c r="AA21" s="20" t="s">
        <v>132</v>
      </c>
      <c r="AD21" s="20" t="s">
        <v>132</v>
      </c>
      <c r="AE21" s="20" t="s">
        <v>132</v>
      </c>
      <c r="AI21" s="20" t="s">
        <v>132</v>
      </c>
      <c r="AJ21" s="20" t="s">
        <v>132</v>
      </c>
      <c r="BG21" s="20" t="s">
        <v>132</v>
      </c>
      <c r="BH21" s="37"/>
      <c r="BI21" s="37"/>
      <c r="BJ21" s="20" t="s">
        <v>132</v>
      </c>
      <c r="BK21" s="21"/>
      <c r="BL21" s="8"/>
      <c r="BR21" s="2" t="s">
        <v>131</v>
      </c>
    </row>
    <row r="22" spans="1:70" ht="15.75" customHeight="1" x14ac:dyDescent="0.25">
      <c r="A22" s="2" t="s">
        <v>139</v>
      </c>
      <c r="B22">
        <f>(ColorFunction(B26,B2:B19,FALSE)*100/18)+(ColorFunction(B25,B2:B19,FALSE)*100/18)</f>
        <v>100</v>
      </c>
      <c r="C22">
        <f>(ColorFunction(C26,C2:C19,FALSE)*100/18)+(ColorFunction(C25,C2:C19,FALSE)*100/18)</f>
        <v>83.333333333333329</v>
      </c>
      <c r="D22">
        <f>(ColorFunction(D26,D2:D19,FALSE)*100/18)+(ColorFunction(D25,D2:D19,FALSE)*100/18)</f>
        <v>5.5555555555555554</v>
      </c>
      <c r="E22">
        <f>(ColorFunction(E26,E2:E19,FALSE)*100/18)+(ColorFunction(E25,E2:E19,FALSE)*100/18)</f>
        <v>72.222222222222229</v>
      </c>
      <c r="F22">
        <f>(ColorFunction(F26,F2:F19,FALSE)*100/18)+(ColorFunction(F25,F2:F19,FALSE)*100/18)</f>
        <v>77.777777777777771</v>
      </c>
      <c r="G22">
        <f>(ColorFunction(G26,G2:G19,FALSE)*100/18)+(ColorFunction(G25,G2:G19,FALSE)*100/18)</f>
        <v>11.111111111111111</v>
      </c>
      <c r="H22">
        <f>(ColorFunction(H26,H2:H19,FALSE)*100/18)+(ColorFunction(H25,H2:H19,FALSE)*100/18)</f>
        <v>5.5555555555555554</v>
      </c>
      <c r="I22">
        <f>(ColorFunction(I26,I2:I19,FALSE)*100/18)+(ColorFunction(I25,I2:I19,FALSE)*100/18)</f>
        <v>5.5555555555555554</v>
      </c>
      <c r="J22">
        <f>(ColorFunction(J26,J2:J19,FALSE)*100/18)+(ColorFunction(J25,J2:J19,FALSE)*100/18)</f>
        <v>5.5555555555555554</v>
      </c>
      <c r="K22">
        <f>(ColorFunction(K26,K2:K19,FALSE)*100/18)+(ColorFunction(K25,K2:K19,FALSE)*100/18)</f>
        <v>72.222222222222229</v>
      </c>
      <c r="L22">
        <f>(ColorFunction(L26,L2:L19,FALSE)*100/18)+(ColorFunction(L25,L2:L19,FALSE)*100/18)</f>
        <v>100</v>
      </c>
      <c r="M22">
        <f>(ColorFunction(M26,M2:M19,FALSE)*100/18)+(ColorFunction(M25,M2:M19,FALSE)*100/18)</f>
        <v>55.555555555555557</v>
      </c>
      <c r="N22">
        <f>(ColorFunction(N26,N2:N19,FALSE)*100/18)+(ColorFunction(N25,N2:N19,FALSE)*100/18)</f>
        <v>5.5555555555555554</v>
      </c>
      <c r="O22">
        <f>(ColorFunction(O26,O2:O19,FALSE)*100/18)+(ColorFunction(O25,O2:O19,FALSE)*100/18)</f>
        <v>44.444444444444443</v>
      </c>
      <c r="P22">
        <f>(ColorFunction(P26,P2:P19,FALSE)*100/18)+(ColorFunction(P25,P2:P19,FALSE)*100/18)</f>
        <v>11.111111111111111</v>
      </c>
      <c r="Q22">
        <f>(ColorFunction(Q26,Q2:Q19,FALSE)*100/18)+(ColorFunction(Q25,Q2:Q19,FALSE)*100/18)</f>
        <v>11.111111111111111</v>
      </c>
      <c r="R22">
        <f>(ColorFunction(R26,R2:R19,FALSE)*100/18)+(ColorFunction(R25,R2:R19,FALSE)*100/18)</f>
        <v>16.666666666666668</v>
      </c>
      <c r="S22">
        <f>(ColorFunction(S26,S2:S19,FALSE)*100/18)+(ColorFunction(S25,S2:S19,FALSE)*100/18)</f>
        <v>22.222222222222221</v>
      </c>
      <c r="T22">
        <f>(ColorFunction(T26,T2:T19,FALSE)*100/18)+(ColorFunction(T25,T2:T19,FALSE)*100/18)</f>
        <v>77.777777777777771</v>
      </c>
      <c r="U22">
        <f>(ColorFunction(U26,U2:U19,FALSE)*100/18)+(ColorFunction(U25,U2:U19,FALSE)*100/18)</f>
        <v>5.5555555555555554</v>
      </c>
      <c r="V22">
        <f>(ColorFunction(V26,V2:V19,FALSE)*100/18)+(ColorFunction(V25,V2:V19,FALSE)*100/18)</f>
        <v>5.5555555555555554</v>
      </c>
      <c r="W22">
        <f>(ColorFunction(W26,W2:W19,FALSE)*100/18)+(ColorFunction(W25,W2:W19,FALSE)*100/18)</f>
        <v>5.5555555555555554</v>
      </c>
      <c r="X22">
        <f>(ColorFunction(X26,X2:X19,FALSE)*100/18)+(ColorFunction(X25,X2:X19,FALSE)*100/18)</f>
        <v>38.888888888888886</v>
      </c>
      <c r="Y22">
        <f>(ColorFunction(Y26,Y2:Y19,FALSE)*100/18)+(ColorFunction(Y25,Y2:Y19,FALSE)*100/18)</f>
        <v>16.666666666666668</v>
      </c>
      <c r="Z22">
        <f>(ColorFunction(Z26,Z2:Z19,FALSE)*100/18)+(ColorFunction(Z25,Z2:Z19,FALSE)*100/18)</f>
        <v>77.777777777777771</v>
      </c>
      <c r="AA22">
        <f>(ColorFunction(AA26,AA2:AA19,FALSE)*100/18)+(ColorFunction(AA25,AA2:AA19,FALSE)*100/18)</f>
        <v>11.111111111111111</v>
      </c>
      <c r="AB22">
        <f>(ColorFunction(AB26,AB2:AB19,FALSE)*100/18)+(ColorFunction(AB25,AB2:AB19,FALSE)*100/18)</f>
        <v>50</v>
      </c>
      <c r="AC22">
        <f>(ColorFunction(AC26,AC2:AC19,FALSE)*100/18)+(ColorFunction(AC25,AC2:AC19,FALSE)*100/18)</f>
        <v>11.111111111111111</v>
      </c>
      <c r="AD22">
        <f>(ColorFunction(AD26,AD2:AD19,FALSE)*100/18)+(ColorFunction(AD25,AD2:AD19,FALSE)*100/18)</f>
        <v>5.5555555555555554</v>
      </c>
      <c r="AE22">
        <f>(ColorFunction(AE26,AE2:AE19,FALSE)*100/18)+(ColorFunction(AE25,AE2:AE19,FALSE)*100/18)</f>
        <v>5.5555555555555554</v>
      </c>
      <c r="AF22">
        <f>(ColorFunction(AF26,AF2:AF19,FALSE)*100/18)+(ColorFunction(AF25,AF2:AF19,FALSE)*100/18)</f>
        <v>5.5555555555555554</v>
      </c>
      <c r="AG22">
        <f>(ColorFunction(AG26,AG2:AG19,FALSE)*100/18)+(ColorFunction(AG25,AG2:AG19,FALSE)*100/18)</f>
        <v>16.666666666666668</v>
      </c>
      <c r="AH22">
        <f>(ColorFunction(AH26,AH2:AH19,FALSE)*100/18)+(ColorFunction(AH25,AH2:AH19,FALSE)*100/18)</f>
        <v>33.333333333333336</v>
      </c>
      <c r="AI22">
        <f>(ColorFunction(AI26,AI2:AI19,FALSE)*100/18)+(ColorFunction(AI25,AI2:AI19,FALSE)*100/18)</f>
        <v>33.333333333333336</v>
      </c>
      <c r="AJ22">
        <f>(ColorFunction(AJ26,AJ2:AJ19,FALSE)*100/18)+(ColorFunction(AJ25,AJ2:AJ19,FALSE)*100/18)</f>
        <v>33.333333333333336</v>
      </c>
      <c r="AK22">
        <f>(ColorFunction(AK26,AK2:AK19,FALSE)*100/18)+(ColorFunction(AK25,AK2:AK19,FALSE)*100/18)</f>
        <v>16.666666666666668</v>
      </c>
      <c r="AL22">
        <f>(ColorFunction(AL26,AL2:AL19,FALSE)*100/18)+(ColorFunction(AL25,AL2:AL19,FALSE)*100/18)</f>
        <v>16.666666666666668</v>
      </c>
      <c r="AM22">
        <f>(ColorFunction(AM26,AM2:AM19,FALSE)*100/18)+(ColorFunction(AM25,AM2:AM19,FALSE)*100/18)</f>
        <v>16.666666666666668</v>
      </c>
      <c r="AN22">
        <f>(ColorFunction(AN26,AN2:AN19,FALSE)*100/18)+(ColorFunction(AN25,AN2:AN19,FALSE)*100/18)</f>
        <v>5.5555555555555554</v>
      </c>
      <c r="AO22">
        <f>(ColorFunction(AO26,AO2:AO19,FALSE)*100/18)+(ColorFunction(AO25,AO2:AO19,FALSE)*100/18)</f>
        <v>5.5555555555555554</v>
      </c>
      <c r="AP22">
        <f>(ColorFunction(AP26,AP2:AP19,FALSE)*100/18)+(ColorFunction(AP25,AP2:AP19,FALSE)*100/18)</f>
        <v>16.666666666666668</v>
      </c>
      <c r="AQ22">
        <f>(ColorFunction(AQ26,AQ2:AQ19,FALSE)*100/18)+(ColorFunction(AQ25,AQ2:AQ19,FALSE)*100/18)</f>
        <v>16.666666666666668</v>
      </c>
      <c r="AR22">
        <f>(ColorFunction(AR26,AR2:AR19,FALSE)*100/18)+(ColorFunction(AR25,AR2:AR19,FALSE)*100/18)</f>
        <v>38.888888888888886</v>
      </c>
      <c r="AS22">
        <f>(ColorFunction(AS26,AS2:AS19,FALSE)*100/18)+(ColorFunction(AS25,AS2:AS19,FALSE)*100/18)</f>
        <v>5.5555555555555554</v>
      </c>
      <c r="AT22">
        <f>(ColorFunction(AT26,AT2:AT19,FALSE)*100/18)+(ColorFunction(AT25,AT2:AT19,FALSE)*100/18)</f>
        <v>5.5555555555555554</v>
      </c>
      <c r="AU22">
        <f>(ColorFunction(AU26,AU2:AU19,FALSE)*100/18)+(ColorFunction(AU25,AU2:AU19,FALSE)*100/18)</f>
        <v>5.5555555555555554</v>
      </c>
      <c r="AV22">
        <f>(ColorFunction(AV26,AV2:AV19,FALSE)*100/18)+(ColorFunction(AV25,AV2:AV19,FALSE)*100/18)</f>
        <v>11.111111111111111</v>
      </c>
      <c r="AW22">
        <f>(ColorFunction(AW26,AW2:AW19,FALSE)*100/18)+(ColorFunction(AW25,AW2:AW19,FALSE)*100/18)</f>
        <v>5.5555555555555554</v>
      </c>
      <c r="AX22">
        <f>(ColorFunction(AX26,AX2:AX19,FALSE)*100/18)+(ColorFunction(AX25,AX2:AX19,FALSE)*100/18)</f>
        <v>5.5555555555555554</v>
      </c>
      <c r="AY22">
        <f>(ColorFunction(AY26,AY2:AY19,FALSE)*100/18)+(ColorFunction(AY25,AY2:AY19,FALSE)*100/18)</f>
        <v>5.5555555555555554</v>
      </c>
      <c r="AZ22">
        <f>(ColorFunction(AZ26,AZ2:AZ19,FALSE)*100/18)+(ColorFunction(AZ25,AZ2:AZ19,FALSE)*100/18)</f>
        <v>11.111111111111111</v>
      </c>
      <c r="BA22">
        <f>(ColorFunction(BA26,BA2:BA19,FALSE)*100/18)+(ColorFunction(BA25,BA2:BA19,FALSE)*100/18)</f>
        <v>5.5555555555555554</v>
      </c>
      <c r="BB22">
        <f>(ColorFunction(BB26,BB2:BB19,FALSE)*100/18)+(ColorFunction(BB25,BB2:BB19,FALSE)*100/18)</f>
        <v>5.5555555555555554</v>
      </c>
      <c r="BC22">
        <f>(ColorFunction(BC26,BC2:BC19,FALSE)*100/18)+(ColorFunction(BC25,BC2:BC19,FALSE)*100/18)</f>
        <v>5.5555555555555554</v>
      </c>
      <c r="BD22">
        <f>(ColorFunction(BD26,BD2:BD19,FALSE)*100/18)+(ColorFunction(BD25,BD2:BD19,FALSE)*100/18)</f>
        <v>16.666666666666668</v>
      </c>
      <c r="BE22">
        <f>(ColorFunction(BE26,BE2:BE19,FALSE)*100/18)+(ColorFunction(BE25,BE2:BE19,FALSE)*100/18)</f>
        <v>33.333333333333336</v>
      </c>
      <c r="BF22">
        <f>(ColorFunction(BF26,BF2:BF19,FALSE)*100/18)+(ColorFunction(BF25,BF2:BF19,FALSE)*100/18)</f>
        <v>27.777777777777779</v>
      </c>
      <c r="BG22">
        <f>(ColorFunction(BG26,BG2:BG19,FALSE)*100/18)+(ColorFunction(BG25,BG2:BG19,FALSE)*100/18)</f>
        <v>5.5555555555555554</v>
      </c>
      <c r="BH22">
        <f>(ColorFunction(BH26,BH2:BH19,FALSE)*100/18)+(ColorFunction(BH25,BH2:BH19,FALSE)*100/18)</f>
        <v>5.5555555555555554</v>
      </c>
      <c r="BI22">
        <f>(ColorFunction(BI26,BI2:BI19,FALSE)*100/18)+(ColorFunction(BI25,BI2:BI19,FALSE)*100/18)</f>
        <v>5.5555555555555554</v>
      </c>
      <c r="BJ22">
        <f>(ColorFunction(BJ26,BJ2:BJ19,FALSE)*100/18)+(ColorFunction(BJ25,BJ2:BJ19,FALSE)*100/18)</f>
        <v>5.5555555555555554</v>
      </c>
      <c r="BR22" s="2" t="s">
        <v>139</v>
      </c>
    </row>
    <row r="23" spans="1:70" ht="15.75" customHeight="1" x14ac:dyDescent="0.25">
      <c r="A23" s="2" t="s">
        <v>140</v>
      </c>
      <c r="B23">
        <f>ColorFunction(B27,B2:B19,FALSE)*100/18</f>
        <v>0</v>
      </c>
      <c r="C23">
        <f t="shared" ref="C23:BJ23" si="4">ColorFunction(C27,C2:C19,FALSE)*100/18</f>
        <v>16.666666666666668</v>
      </c>
      <c r="D23">
        <f t="shared" si="4"/>
        <v>94.444444444444443</v>
      </c>
      <c r="E23">
        <f t="shared" si="4"/>
        <v>27.777777777777779</v>
      </c>
      <c r="F23">
        <f t="shared" si="4"/>
        <v>22.222222222222221</v>
      </c>
      <c r="G23">
        <f t="shared" si="4"/>
        <v>88.888888888888886</v>
      </c>
      <c r="H23">
        <f t="shared" si="4"/>
        <v>94.444444444444443</v>
      </c>
      <c r="I23">
        <f t="shared" si="4"/>
        <v>94.444444444444443</v>
      </c>
      <c r="J23">
        <f t="shared" si="4"/>
        <v>94.444444444444443</v>
      </c>
      <c r="K23">
        <f t="shared" si="4"/>
        <v>27.777777777777779</v>
      </c>
      <c r="L23">
        <f t="shared" si="4"/>
        <v>0</v>
      </c>
      <c r="M23">
        <f t="shared" si="4"/>
        <v>44.444444444444443</v>
      </c>
      <c r="N23">
        <f t="shared" si="4"/>
        <v>94.444444444444443</v>
      </c>
      <c r="O23">
        <f t="shared" si="4"/>
        <v>55.555555555555557</v>
      </c>
      <c r="P23">
        <f t="shared" si="4"/>
        <v>88.888888888888886</v>
      </c>
      <c r="Q23">
        <f t="shared" si="4"/>
        <v>88.888888888888886</v>
      </c>
      <c r="R23">
        <f t="shared" si="4"/>
        <v>83.333333333333329</v>
      </c>
      <c r="S23">
        <f t="shared" si="4"/>
        <v>77.777777777777771</v>
      </c>
      <c r="T23">
        <f t="shared" si="4"/>
        <v>22.222222222222221</v>
      </c>
      <c r="U23">
        <f t="shared" si="4"/>
        <v>94.444444444444443</v>
      </c>
      <c r="V23">
        <f t="shared" si="4"/>
        <v>94.444444444444443</v>
      </c>
      <c r="W23">
        <f t="shared" si="4"/>
        <v>94.444444444444443</v>
      </c>
      <c r="X23">
        <f t="shared" si="4"/>
        <v>61.111111111111114</v>
      </c>
      <c r="Y23">
        <f t="shared" si="4"/>
        <v>83.333333333333329</v>
      </c>
      <c r="Z23">
        <f t="shared" si="4"/>
        <v>22.222222222222221</v>
      </c>
      <c r="AA23">
        <f t="shared" si="4"/>
        <v>88.888888888888886</v>
      </c>
      <c r="AB23">
        <f t="shared" si="4"/>
        <v>50</v>
      </c>
      <c r="AC23">
        <f t="shared" si="4"/>
        <v>88.888888888888886</v>
      </c>
      <c r="AD23">
        <f t="shared" si="4"/>
        <v>94.444444444444443</v>
      </c>
      <c r="AE23">
        <f t="shared" si="4"/>
        <v>94.444444444444443</v>
      </c>
      <c r="AF23">
        <f t="shared" si="4"/>
        <v>94.444444444444443</v>
      </c>
      <c r="AG23">
        <f t="shared" si="4"/>
        <v>83.333333333333329</v>
      </c>
      <c r="AH23">
        <f t="shared" si="4"/>
        <v>66.666666666666671</v>
      </c>
      <c r="AI23">
        <f t="shared" si="4"/>
        <v>66.666666666666671</v>
      </c>
      <c r="AJ23">
        <f t="shared" si="4"/>
        <v>66.666666666666671</v>
      </c>
      <c r="AK23">
        <f t="shared" si="4"/>
        <v>83.333333333333329</v>
      </c>
      <c r="AL23">
        <f t="shared" si="4"/>
        <v>83.333333333333329</v>
      </c>
      <c r="AM23">
        <f t="shared" si="4"/>
        <v>83.333333333333329</v>
      </c>
      <c r="AN23">
        <f t="shared" si="4"/>
        <v>94.444444444444443</v>
      </c>
      <c r="AO23">
        <f t="shared" si="4"/>
        <v>94.444444444444443</v>
      </c>
      <c r="AP23">
        <f t="shared" si="4"/>
        <v>83.333333333333329</v>
      </c>
      <c r="AQ23">
        <f t="shared" si="4"/>
        <v>83.333333333333329</v>
      </c>
      <c r="AR23">
        <f t="shared" si="4"/>
        <v>61.111111111111114</v>
      </c>
      <c r="AS23">
        <f t="shared" si="4"/>
        <v>94.444444444444443</v>
      </c>
      <c r="AT23">
        <f t="shared" si="4"/>
        <v>94.444444444444443</v>
      </c>
      <c r="AU23">
        <f t="shared" si="4"/>
        <v>94.444444444444443</v>
      </c>
      <c r="AV23">
        <f t="shared" si="4"/>
        <v>88.888888888888886</v>
      </c>
      <c r="AW23">
        <f t="shared" si="4"/>
        <v>94.444444444444443</v>
      </c>
      <c r="AX23">
        <f t="shared" si="4"/>
        <v>94.444444444444443</v>
      </c>
      <c r="AY23">
        <f t="shared" si="4"/>
        <v>94.444444444444443</v>
      </c>
      <c r="AZ23">
        <f t="shared" si="4"/>
        <v>88.888888888888886</v>
      </c>
      <c r="BA23">
        <f t="shared" si="4"/>
        <v>94.444444444444443</v>
      </c>
      <c r="BB23">
        <f t="shared" si="4"/>
        <v>94.444444444444443</v>
      </c>
      <c r="BC23">
        <f t="shared" si="4"/>
        <v>94.444444444444443</v>
      </c>
      <c r="BD23">
        <f t="shared" si="4"/>
        <v>83.333333333333329</v>
      </c>
      <c r="BE23">
        <f t="shared" si="4"/>
        <v>66.666666666666671</v>
      </c>
      <c r="BF23">
        <f t="shared" si="4"/>
        <v>72.222222222222229</v>
      </c>
      <c r="BG23">
        <f t="shared" si="4"/>
        <v>94.444444444444443</v>
      </c>
      <c r="BH23">
        <f t="shared" si="4"/>
        <v>94.444444444444443</v>
      </c>
      <c r="BI23">
        <f t="shared" si="4"/>
        <v>94.444444444444443</v>
      </c>
      <c r="BJ23">
        <f t="shared" si="4"/>
        <v>94.444444444444443</v>
      </c>
      <c r="BR23" s="2" t="s">
        <v>140</v>
      </c>
    </row>
    <row r="24" spans="1:70" ht="15.75" customHeight="1" x14ac:dyDescent="0.25">
      <c r="A24" s="2" t="s">
        <v>141</v>
      </c>
      <c r="B24">
        <f>100-B22-B23</f>
        <v>0</v>
      </c>
      <c r="C24">
        <f t="shared" ref="C24:BJ24" si="5">100-C22-C23</f>
        <v>0</v>
      </c>
      <c r="D24">
        <f t="shared" si="5"/>
        <v>0</v>
      </c>
      <c r="E24">
        <f t="shared" si="5"/>
        <v>0</v>
      </c>
      <c r="F24">
        <f t="shared" si="5"/>
        <v>0</v>
      </c>
      <c r="G24">
        <f t="shared" si="5"/>
        <v>0</v>
      </c>
      <c r="H24">
        <f t="shared" si="5"/>
        <v>0</v>
      </c>
      <c r="I24">
        <f t="shared" si="5"/>
        <v>0</v>
      </c>
      <c r="J24">
        <f t="shared" si="5"/>
        <v>0</v>
      </c>
      <c r="K24">
        <f t="shared" si="5"/>
        <v>0</v>
      </c>
      <c r="L24">
        <f t="shared" si="5"/>
        <v>0</v>
      </c>
      <c r="M24">
        <f t="shared" si="5"/>
        <v>0</v>
      </c>
      <c r="N24">
        <f t="shared" si="5"/>
        <v>0</v>
      </c>
      <c r="O24">
        <f t="shared" si="5"/>
        <v>0</v>
      </c>
      <c r="P24">
        <f t="shared" si="5"/>
        <v>0</v>
      </c>
      <c r="Q24">
        <f t="shared" si="5"/>
        <v>0</v>
      </c>
      <c r="R24">
        <f t="shared" si="5"/>
        <v>0</v>
      </c>
      <c r="S24">
        <f t="shared" si="5"/>
        <v>0</v>
      </c>
      <c r="T24">
        <f t="shared" si="5"/>
        <v>0</v>
      </c>
      <c r="U24">
        <f t="shared" si="5"/>
        <v>0</v>
      </c>
      <c r="V24">
        <f t="shared" si="5"/>
        <v>0</v>
      </c>
      <c r="W24">
        <f t="shared" si="5"/>
        <v>0</v>
      </c>
      <c r="X24">
        <f t="shared" si="5"/>
        <v>0</v>
      </c>
      <c r="Y24">
        <f t="shared" si="5"/>
        <v>0</v>
      </c>
      <c r="Z24">
        <f t="shared" si="5"/>
        <v>0</v>
      </c>
      <c r="AA24">
        <f t="shared" si="5"/>
        <v>0</v>
      </c>
      <c r="AB24">
        <f t="shared" si="5"/>
        <v>0</v>
      </c>
      <c r="AC24">
        <f t="shared" si="5"/>
        <v>0</v>
      </c>
      <c r="AD24">
        <f t="shared" si="5"/>
        <v>0</v>
      </c>
      <c r="AE24">
        <f t="shared" si="5"/>
        <v>0</v>
      </c>
      <c r="AF24">
        <f t="shared" si="5"/>
        <v>0</v>
      </c>
      <c r="AG24">
        <f t="shared" si="5"/>
        <v>0</v>
      </c>
      <c r="AH24">
        <f t="shared" si="5"/>
        <v>0</v>
      </c>
      <c r="AI24">
        <f t="shared" si="5"/>
        <v>0</v>
      </c>
      <c r="AJ24">
        <f t="shared" si="5"/>
        <v>0</v>
      </c>
      <c r="AK24">
        <f t="shared" si="5"/>
        <v>0</v>
      </c>
      <c r="AL24">
        <f t="shared" si="5"/>
        <v>0</v>
      </c>
      <c r="AM24">
        <f t="shared" si="5"/>
        <v>0</v>
      </c>
      <c r="AN24">
        <f t="shared" si="5"/>
        <v>0</v>
      </c>
      <c r="AO24">
        <f t="shared" si="5"/>
        <v>0</v>
      </c>
      <c r="AP24">
        <f t="shared" si="5"/>
        <v>0</v>
      </c>
      <c r="AQ24">
        <f t="shared" si="5"/>
        <v>0</v>
      </c>
      <c r="AR24">
        <f t="shared" si="5"/>
        <v>0</v>
      </c>
      <c r="AS24">
        <f t="shared" si="5"/>
        <v>0</v>
      </c>
      <c r="AT24">
        <f t="shared" si="5"/>
        <v>0</v>
      </c>
      <c r="AU24">
        <f t="shared" si="5"/>
        <v>0</v>
      </c>
      <c r="AV24">
        <f t="shared" si="5"/>
        <v>0</v>
      </c>
      <c r="AW24">
        <f t="shared" si="5"/>
        <v>0</v>
      </c>
      <c r="AX24">
        <f t="shared" si="5"/>
        <v>0</v>
      </c>
      <c r="AY24">
        <f t="shared" si="5"/>
        <v>0</v>
      </c>
      <c r="AZ24">
        <f t="shared" si="5"/>
        <v>0</v>
      </c>
      <c r="BA24">
        <f t="shared" si="5"/>
        <v>0</v>
      </c>
      <c r="BB24">
        <f t="shared" si="5"/>
        <v>0</v>
      </c>
      <c r="BC24">
        <f t="shared" si="5"/>
        <v>0</v>
      </c>
      <c r="BD24">
        <f t="shared" si="5"/>
        <v>0</v>
      </c>
      <c r="BE24">
        <f t="shared" si="5"/>
        <v>0</v>
      </c>
      <c r="BF24">
        <f t="shared" si="5"/>
        <v>0</v>
      </c>
      <c r="BG24">
        <f t="shared" si="5"/>
        <v>0</v>
      </c>
      <c r="BH24">
        <f t="shared" si="5"/>
        <v>0</v>
      </c>
      <c r="BI24">
        <f t="shared" si="5"/>
        <v>0</v>
      </c>
      <c r="BJ24">
        <f t="shared" si="5"/>
        <v>0</v>
      </c>
      <c r="BR24" s="2" t="s">
        <v>141</v>
      </c>
    </row>
    <row r="25" spans="1:70" ht="15.75" customHeight="1" x14ac:dyDescent="0.25">
      <c r="A25" s="2" t="s">
        <v>137</v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R25" s="2" t="s">
        <v>137</v>
      </c>
    </row>
    <row r="26" spans="1:70" ht="15.75" customHeight="1" x14ac:dyDescent="0.25">
      <c r="A26" s="2" t="s">
        <v>142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R26" s="2" t="s">
        <v>142</v>
      </c>
    </row>
    <row r="27" spans="1:70" ht="15.75" customHeight="1" x14ac:dyDescent="0.25">
      <c r="A27" s="2" t="s">
        <v>143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R27" s="2" t="s">
        <v>143</v>
      </c>
    </row>
  </sheetData>
  <hyperlinks>
    <hyperlink ref="A15" r:id="rId1" xr:uid="{00000000-0004-0000-0000-000000000000}"/>
    <hyperlink ref="BR15" r:id="rId2" xr:uid="{005915D9-7B28-4A09-9545-59ABE094C132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Foglio1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Sartini</dc:creator>
  <cp:lastModifiedBy>Bruno Sartini</cp:lastModifiedBy>
  <dcterms:created xsi:type="dcterms:W3CDTF">2019-02-05T16:25:46Z</dcterms:created>
  <dcterms:modified xsi:type="dcterms:W3CDTF">2019-02-07T14:00:45Z</dcterms:modified>
</cp:coreProperties>
</file>